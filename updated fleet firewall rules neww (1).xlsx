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 Input Sheet" sheetId="1" r:id="rId5"/>
    <sheet state="visible" name="Fleet → Mgmt+WLD" sheetId="2" r:id="rId6"/>
    <sheet state="visible" name="Mgmt+WLD → Fleet" sheetId="3" r:id="rId7"/>
    <sheet state="visible" name="Fleet → External" sheetId="4" r:id="rId8"/>
    <sheet state="visible" name="Route Table" sheetId="5" r:id="rId9"/>
    <sheet state="visible" name="Port Summary" sheetId="6" r:id="rId10"/>
  </sheets>
  <definedNames/>
  <calcPr/>
</workbook>
</file>

<file path=xl/sharedStrings.xml><?xml version="1.0" encoding="utf-8"?>
<sst xmlns="http://schemas.openxmlformats.org/spreadsheetml/2006/main" count="2536" uniqueCount="1196">
  <si>
    <t>AES-220  |  IP Address Input Sheet  |  Enter all IP values here</t>
  </si>
  <si>
    <t>Fill in the IP/Subnet for each component. All firewall rule tabs will auto-populate.</t>
  </si>
  <si>
    <t>#</t>
  </si>
  <si>
    <t>Component / Service</t>
  </si>
  <si>
    <t>Named Range Key</t>
  </si>
  <si>
    <t>AZ1  IP / Subnet</t>
  </si>
  <si>
    <t>AZ2  IP / Subnet</t>
  </si>
  <si>
    <t>AZ3  IP / Subnet</t>
  </si>
  <si>
    <t>🔷  FLEET COMPONENTS  (NSX Overlay Segment)</t>
  </si>
  <si>
    <t>F1</t>
  </si>
  <si>
    <t>VCF Operations Fleet Manager</t>
  </si>
  <si>
    <t>FLEET_MGR</t>
  </si>
  <si>
    <t>10.5.25.86</t>
  </si>
  <si>
    <t>F2</t>
  </si>
  <si>
    <t>VCF Operations (VCFO)</t>
  </si>
  <si>
    <t>VCFO</t>
  </si>
  <si>
    <t>10.5.25.64/26</t>
  </si>
  <si>
    <t>F3</t>
  </si>
  <si>
    <t>VCF Automation (VCFA)</t>
  </si>
  <si>
    <t>VCFA</t>
  </si>
  <si>
    <t>F4</t>
  </si>
  <si>
    <t>VCF Operations for Logs (VOL)</t>
  </si>
  <si>
    <t>VOL</t>
  </si>
  <si>
    <t>F5</t>
  </si>
  <si>
    <t>VCF Operations for Networks (VON)</t>
  </si>
  <si>
    <t>VON</t>
  </si>
  <si>
    <t>F6</t>
  </si>
  <si>
    <t>Identity Broker (VIDB)</t>
  </si>
  <si>
    <t>VIDB</t>
  </si>
  <si>
    <t>10.3.118.0/24</t>
  </si>
  <si>
    <t>10.5.59.0/24</t>
  </si>
  <si>
    <t>F7</t>
  </si>
  <si>
    <t>Fleet Overlay Subnet (overall)</t>
  </si>
  <si>
    <t>FLEET_SUBNET</t>
  </si>
  <si>
    <t>🔷  MANAGEMENT DOMAIN COMPONENTS  (VLAN 2600 — per AZ)</t>
  </si>
  <si>
    <t>M1</t>
  </si>
  <si>
    <t>vCenter Server</t>
  </si>
  <si>
    <t>VCENTER</t>
  </si>
  <si>
    <t>10.3.118.18</t>
  </si>
  <si>
    <t>10.5.59.4</t>
  </si>
  <si>
    <t>M2</t>
  </si>
  <si>
    <t>NSX Manager (Local)</t>
  </si>
  <si>
    <t>NSX_MGR</t>
  </si>
  <si>
    <t>M3</t>
  </si>
  <si>
    <t>NSX Global Manager</t>
  </si>
  <si>
    <t>NSX_GM</t>
  </si>
  <si>
    <t>M4</t>
  </si>
  <si>
    <t>SDDC Manager</t>
  </si>
  <si>
    <t>SDDC_MGR</t>
  </si>
  <si>
    <t>10.3.118.30</t>
  </si>
  <si>
    <t>10.5.59.30</t>
  </si>
  <si>
    <t>M5</t>
  </si>
  <si>
    <t>VCF Operations Collector</t>
  </si>
  <si>
    <t>VCFO_COLL</t>
  </si>
  <si>
    <t>10.3.118.35</t>
  </si>
  <si>
    <t>10.5.59.35</t>
  </si>
  <si>
    <t>M6</t>
  </si>
  <si>
    <t>ESXi Mgmt Subnet — Mgmt Domain</t>
  </si>
  <si>
    <t>ESXI_MGMT_MD</t>
  </si>
  <si>
    <t>10.5.58.0/24</t>
  </si>
  <si>
    <t>M7</t>
  </si>
  <si>
    <t>VCF OPS for Network Collector</t>
  </si>
  <si>
    <t>VON_COLL</t>
  </si>
  <si>
    <t>10.3.118.101</t>
  </si>
  <si>
    <t>M8</t>
  </si>
  <si>
    <t>VMware Live Recovery (VLR) Appliance — sfoMGMT-1-1-vlsr1.test.net</t>
  </si>
  <si>
    <t>VLR_MGMT</t>
  </si>
  <si>
    <t>192.168.188.1</t>
  </si>
  <si>
    <t>🔷  EDGE CLUSTER UPLINKS  (per AZ — Edge VM IPs  | ToR IPs )</t>
  </si>
  <si>
    <t>EU1</t>
  </si>
  <si>
    <t>Edge 1  —  Uplink 1  (VLAN 2606 — Rack 1)</t>
  </si>
  <si>
    <t>EDGE1_UPL1</t>
  </si>
  <si>
    <t>10.3.111.101</t>
  </si>
  <si>
    <t>10.3.111.231</t>
  </si>
  <si>
    <t>EU2</t>
  </si>
  <si>
    <t>Edge 1  —  Uplink 2  (VLAN 2607 — Rack 1)</t>
  </si>
  <si>
    <t>EDGE1_UPL2</t>
  </si>
  <si>
    <t>10.3.111.121</t>
  </si>
  <si>
    <t>10.3.111.241</t>
  </si>
  <si>
    <t>EU3</t>
  </si>
  <si>
    <t>Edge 2  —  Uplink 1  (VLAN 2606 — Rack 1)</t>
  </si>
  <si>
    <t>EDGE2_UPL1</t>
  </si>
  <si>
    <t>10.3.111.102</t>
  </si>
  <si>
    <t>10.3.111.232</t>
  </si>
  <si>
    <t>EU4</t>
  </si>
  <si>
    <t>Edge 2  —  Uplink 2  (VLAN 2607 — Rack 1)</t>
  </si>
  <si>
    <t>EDGE2_UPL2</t>
  </si>
  <si>
    <t>10.3.111.122</t>
  </si>
  <si>
    <t>10.3.111.242</t>
  </si>
  <si>
    <t>EU5</t>
  </si>
  <si>
    <t>Edge 3  —  Uplink 1  (VLAN 2608 — Rack 2)</t>
  </si>
  <si>
    <t>EDGE3_UPL1</t>
  </si>
  <si>
    <t>10.3.111.133</t>
  </si>
  <si>
    <t>10.5.25.13</t>
  </si>
  <si>
    <t>EU6</t>
  </si>
  <si>
    <t>Edge 3  —  Uplink 2  (VLAN 2609 — Rack 2)</t>
  </si>
  <si>
    <t>EDGE3_UPL2</t>
  </si>
  <si>
    <t>10.3.111.153</t>
  </si>
  <si>
    <t>10.5.25.23</t>
  </si>
  <si>
    <t>EU7</t>
  </si>
  <si>
    <t>Edge 4  —  Uplink 1  (VLAN 2608 — Rack 2)</t>
  </si>
  <si>
    <t>EDGE4_UPL1</t>
  </si>
  <si>
    <t>10.3.111.134</t>
  </si>
  <si>
    <t>10.5.25.14</t>
  </si>
  <si>
    <t>EU8</t>
  </si>
  <si>
    <t>Edge 4  —  Uplink 2  (VLAN 2609 — Rack 2)</t>
  </si>
  <si>
    <t>EDGE4_UPL2</t>
  </si>
  <si>
    <t>10.3.111.154</t>
  </si>
  <si>
    <t>10.5.25.24</t>
  </si>
  <si>
    <t>EU9</t>
  </si>
  <si>
    <t>Edge TEP Subnet  (VLAN 2603 — intra-AZ HA + GENEVE)</t>
  </si>
  <si>
    <t>EDGE_TEP</t>
  </si>
  <si>
    <t>10.5.236.0/24</t>
  </si>
  <si>
    <t>10.5.248.0/24</t>
  </si>
  <si>
    <t>EU10</t>
  </si>
  <si>
    <t>Remote TEP Subnet  (VLAN 2605 — cross-AZ GENEVE)</t>
  </si>
  <si>
    <t>EDGE_RTEP</t>
  </si>
  <si>
    <t>10.5.22.0/24</t>
  </si>
  <si>
    <t>10.5.24.0/24</t>
  </si>
  <si>
    <t>EU11</t>
  </si>
  <si>
    <t>ToR BGP Peer — Rack 1  Uplink 1  (VLAN 2606)</t>
  </si>
  <si>
    <t>TOR_R1_UPL1</t>
  </si>
  <si>
    <t>10.3.111.97</t>
  </si>
  <si>
    <t>10.3.111.225</t>
  </si>
  <si>
    <t>EU12</t>
  </si>
  <si>
    <t>ToR BGP Peer — Rack 1  Uplink 2  (VLAN 2607)</t>
  </si>
  <si>
    <t>TOR_R1_UPL2</t>
  </si>
  <si>
    <t>10.3.111.113</t>
  </si>
  <si>
    <t>EU13</t>
  </si>
  <si>
    <t>ToR BGP Peer — Rack 2  Uplink 1  (VLAN 2608)</t>
  </si>
  <si>
    <t>TOR_R2_UPL1</t>
  </si>
  <si>
    <t>10.3.111.129</t>
  </si>
  <si>
    <t>10.5.25.1</t>
  </si>
  <si>
    <t>EU14</t>
  </si>
  <si>
    <t>ToR BGP Peer — Rack 2  Uplink 2  (VLAN 2609)</t>
  </si>
  <si>
    <t>TOR_R2_UPL2</t>
  </si>
  <si>
    <t>🔷  EDGE NODE DETAIL  (per-node individual IPs — for NSX deployment config, not firewall rules)</t>
  </si>
  <si>
    <t>EN1_UPL1</t>
  </si>
  <si>
    <t>Edge Node 1 — Uplink 1 IP  (phxvq1cinflne01.phx.aexp.com)</t>
  </si>
  <si>
    <t>EN1_UPL1_IP</t>
  </si>
  <si>
    <t>EN1_UPL2</t>
  </si>
  <si>
    <t>Edge Node 1 — Uplink 2 IP  (phxvq1cinflne01.phx.aexp.com)</t>
  </si>
  <si>
    <t>EN1_UPL2_IP</t>
  </si>
  <si>
    <t>EN1_RTEP</t>
  </si>
  <si>
    <t>Edge Node 1 — RTEP IP  (phxvq1cinflne01.phx.aexp.com)</t>
  </si>
  <si>
    <t>EN1_RTEP_IP</t>
  </si>
  <si>
    <t>EN1_ETEP</t>
  </si>
  <si>
    <t>Edge Node 1 — Edge TEP IP  (phxvq1cinflne01.phx.aexp.com)</t>
  </si>
  <si>
    <t>EN1_ETEP_IP</t>
  </si>
  <si>
    <t>EN2_UPL1</t>
  </si>
  <si>
    <t>Edge Node 2 — Uplink 1 IP  (phxvq1cinflne02.phx.aexp.com)</t>
  </si>
  <si>
    <t>EN2_UPL1_IP</t>
  </si>
  <si>
    <t>EN2_UPL2</t>
  </si>
  <si>
    <t>Edge Node 2 — Uplink 2 IP  (phxvq1cinflne02.phx.aexp.com)</t>
  </si>
  <si>
    <t>EN2_UPL2_IP</t>
  </si>
  <si>
    <t>EN2_RTEP</t>
  </si>
  <si>
    <t>Edge Node 2 — RTEP IP  (phxvq1cinflne02.phx.aexp.com)</t>
  </si>
  <si>
    <t>EN2_RTEP_IP</t>
  </si>
  <si>
    <t>EN2_ETEP</t>
  </si>
  <si>
    <t>Edge Node 2 — Edge TEP IP  (phxvq1cinflne02.phx.aexp.com)</t>
  </si>
  <si>
    <t>EN2_ETEP_IP</t>
  </si>
  <si>
    <t>EN3_UPL1</t>
  </si>
  <si>
    <t>Edge Node 3 — Uplink 1 IP  (phxvq1cinflne03.phx.aexp.com)</t>
  </si>
  <si>
    <t>EN3_UPL1_IP</t>
  </si>
  <si>
    <t>EN3_UPL2</t>
  </si>
  <si>
    <t>Edge Node 3 — Uplink 2 IP  (phxvq1cinflne03.phx.aexp.com)</t>
  </si>
  <si>
    <t>EN3_UPL2_IP</t>
  </si>
  <si>
    <t>EN3_RTEP</t>
  </si>
  <si>
    <t>Edge Node 3 — RTEP IP  (phxvq1cinflne03.phx.aexp.com)</t>
  </si>
  <si>
    <t>EN3_RTEP_IP</t>
  </si>
  <si>
    <t>EN3_ETEP</t>
  </si>
  <si>
    <t>Edge Node 3 — Edge TEP IP  (phxvq1cinflne03.phx.aexp.com)</t>
  </si>
  <si>
    <t>EN3_ETEP_IP</t>
  </si>
  <si>
    <t>EN4_UPL1</t>
  </si>
  <si>
    <t>Edge Node 4 — Uplink 1 IP  (phxvq1cinflne04.phx.aexp.com)</t>
  </si>
  <si>
    <t>EN4_UPL1_IP</t>
  </si>
  <si>
    <t>EN4_UPL2</t>
  </si>
  <si>
    <t>Edge Node 4 — Uplink 2 IP  (phxvq1cinflne04.phx.aexp.com)</t>
  </si>
  <si>
    <t>EN4_UPL2_IP</t>
  </si>
  <si>
    <t>EN4_RTEP</t>
  </si>
  <si>
    <t>Edge Node 4 — RTEP IP  (phxvq1cinflne04.phx.aexp.com)</t>
  </si>
  <si>
    <t>EN4_RTEP_IP</t>
  </si>
  <si>
    <t>EN4_ETEP</t>
  </si>
  <si>
    <t>Edge Node 4 — Edge TEP IP  (phxvq1cinflne04.phx.aexp.com)</t>
  </si>
  <si>
    <t>EN4_ETEP_IP</t>
  </si>
  <si>
    <t>🔷  WORKLOAD DOMAIN  (per AZ)</t>
  </si>
  <si>
    <t>W1</t>
  </si>
  <si>
    <t>ESXi Mgmt Subnet — WLD</t>
  </si>
  <si>
    <t>ESXI_MGMT_WLD</t>
  </si>
  <si>
    <t>W2</t>
  </si>
  <si>
    <t>Workload Ext Subnet</t>
  </si>
  <si>
    <t>WLD_EXT</t>
  </si>
  <si>
    <t>W3</t>
  </si>
  <si>
    <t>VPC Segment Subnet</t>
  </si>
  <si>
    <t>VPC_SEG</t>
  </si>
  <si>
    <t>W4</t>
  </si>
  <si>
    <t>vCenter Server (WLD)</t>
  </si>
  <si>
    <t>VCENTER_WLD</t>
  </si>
  <si>
    <t>W5</t>
  </si>
  <si>
    <t>NSX Manager (WLD)</t>
  </si>
  <si>
    <t>NSX_MGR_WLD</t>
  </si>
  <si>
    <t>🔷  EXTERNAL SERVICES  (shared — no AZ split needed)</t>
  </si>
  <si>
    <t>E1</t>
  </si>
  <si>
    <t>DNS Server</t>
  </si>
  <si>
    <t>DNS_SRV</t>
  </si>
  <si>
    <t>N/A — shared</t>
  </si>
  <si>
    <t>E2</t>
  </si>
  <si>
    <t>NTP Server</t>
  </si>
  <si>
    <t>NTP_SRV</t>
  </si>
  <si>
    <t>E3</t>
  </si>
  <si>
    <t>AD / LDAP Server</t>
  </si>
  <si>
    <t>AD_SRV</t>
  </si>
  <si>
    <t>E4</t>
  </si>
  <si>
    <t>CA Certificate Server</t>
  </si>
  <si>
    <t>CA_SRV</t>
  </si>
  <si>
    <t>E5</t>
  </si>
  <si>
    <t>SFTP Backup Server</t>
  </si>
  <si>
    <t>SFTP_SRV</t>
  </si>
  <si>
    <t>E6</t>
  </si>
  <si>
    <t>Artifactory / Depot</t>
  </si>
  <si>
    <t>ARTIF_SRV</t>
  </si>
  <si>
    <t>LEGEND:</t>
  </si>
  <si>
    <t>Yellow cells = enter IP/subnet here</t>
  </si>
  <si>
    <t>Grey = not applicable (shared services)</t>
  </si>
  <si>
    <t>ex:</t>
  </si>
  <si>
    <t>phxvq1cinflne01.phx.aexp.com</t>
  </si>
  <si>
    <t>10.3.118.22</t>
  </si>
  <si>
    <t>uplink1</t>
  </si>
  <si>
    <t>uplink2</t>
  </si>
  <si>
    <t>RTEP</t>
  </si>
  <si>
    <t>10.5.22.21</t>
  </si>
  <si>
    <t>edgeTEP</t>
  </si>
  <si>
    <t>10.3.69.164</t>
  </si>
  <si>
    <t>Live Recovery</t>
  </si>
  <si>
    <t>VM??</t>
  </si>
  <si>
    <t>AES-220  |  Firewall Rules  |  Fleet → Management Domain &amp; WLD ESXi Hosts</t>
  </si>
  <si>
    <t>Source IP and Destination IP auto-populate from 'IP Input Sheet'.  Fill in IPs there first.</t>
  </si>
  <si>
    <t>Rule Name</t>
  </si>
  <si>
    <t>Source Component</t>
  </si>
  <si>
    <t>Source IP / Subnet</t>
  </si>
  <si>
    <t>Destination Component</t>
  </si>
  <si>
    <t>Destination IP / Subnet</t>
  </si>
  <si>
    <t>Port</t>
  </si>
  <si>
    <t>Protocol</t>
  </si>
  <si>
    <t>Service / Application</t>
  </si>
  <si>
    <t>Action</t>
  </si>
  <si>
    <t>Firewall Type</t>
  </si>
  <si>
    <t>Flow Direction</t>
  </si>
  <si>
    <t>Notes</t>
  </si>
  <si>
    <t>FM-01</t>
  </si>
  <si>
    <t>Fleet Mgr → SDDC Mgmt</t>
  </si>
  <si>
    <t>443</t>
  </si>
  <si>
    <t>TCP</t>
  </si>
  <si>
    <t>Lifecycle Management</t>
  </si>
  <si>
    <t>Allow</t>
  </si>
  <si>
    <t>Gateway FW</t>
  </si>
  <si>
    <t>Outbound</t>
  </si>
  <si>
    <t>Ticket req #3 — Fleet→Mgmt</t>
  </si>
  <si>
    <t>FM-02</t>
  </si>
  <si>
    <t>Fleet Mgr → VCF Operations</t>
  </si>
  <si>
    <t>VCF Ops collector metrics</t>
  </si>
  <si>
    <t>Bidirectional</t>
  </si>
  <si>
    <t>FM-03</t>
  </si>
  <si>
    <t>Fleet Mgr → vCenter</t>
  </si>
  <si>
    <t>vCenter config &amp; mgmt tasks</t>
  </si>
  <si>
    <t>FM-04</t>
  </si>
  <si>
    <t>Fleet Mgr → NSX Manager</t>
  </si>
  <si>
    <t>NSX Manager</t>
  </si>
  <si>
    <t>NSX networking &amp; security config</t>
  </si>
  <si>
    <t>FM-05</t>
  </si>
  <si>
    <t>Fleet Mgr → DNS</t>
  </si>
  <si>
    <t>53</t>
  </si>
  <si>
    <t>TCP/UDP</t>
  </si>
  <si>
    <t>Name resolution</t>
  </si>
  <si>
    <t>All Fleet+VCF components</t>
  </si>
  <si>
    <t>FM-06</t>
  </si>
  <si>
    <t>Fleet Mgr → NTP</t>
  </si>
  <si>
    <t>123</t>
  </si>
  <si>
    <t>UDP</t>
  </si>
  <si>
    <t>Time synchronisation</t>
  </si>
  <si>
    <t>FM-07</t>
  </si>
  <si>
    <t>Fleet Mgr → ESXi (HTTPS)</t>
  </si>
  <si>
    <t>ESXi Hosts (WLD)</t>
  </si>
  <si>
    <t>Secure web services / APIs</t>
  </si>
  <si>
    <t>FM-08</t>
  </si>
  <si>
    <t>Fleet Mgr → VCFA (SSH)</t>
  </si>
  <si>
    <t>VCF Automation</t>
  </si>
  <si>
    <t>22</t>
  </si>
  <si>
    <t>SSH lifecycle tasks</t>
  </si>
  <si>
    <t>Admin  restrict to jump host</t>
  </si>
  <si>
    <t>FM-09</t>
  </si>
  <si>
    <t>Fleet Mgr → VCFA+VIDB (6443)</t>
  </si>
  <si>
    <t>Identity Broker &amp; VCF Automation</t>
  </si>
  <si>
    <t>6443</t>
  </si>
  <si>
    <t>Control Plane API (k8s apiserver)</t>
  </si>
  <si>
    <t>FM-10</t>
  </si>
  <si>
    <t>Fleet Mgr → VCFA+VIDB (30006)</t>
  </si>
  <si>
    <t>30006</t>
  </si>
  <si>
    <t>Validates VCFA health pre-LCM</t>
  </si>
  <si>
    <t>FM-11</t>
  </si>
  <si>
    <t>Fleet Mgr → VCFA+VIDB (30005)</t>
  </si>
  <si>
    <t>30005</t>
  </si>
  <si>
    <t>API calls to VIDB &amp; VCFA</t>
  </si>
  <si>
    <t>FM-12</t>
  </si>
  <si>
    <t>Fleet Mgr → VCFA+VIDB (30001)</t>
  </si>
  <si>
    <t>30001</t>
  </si>
  <si>
    <t>Container images (k8s/VKS)</t>
  </si>
  <si>
    <t>FM-13</t>
  </si>
  <si>
    <t>Fleet Mgr → VCFA+VIDB (30000)</t>
  </si>
  <si>
    <t>30000</t>
  </si>
  <si>
    <t>FM-14</t>
  </si>
  <si>
    <t>Fleet Mgr → VCFA health</t>
  </si>
  <si>
    <t>8008</t>
  </si>
  <si>
    <t>Health check monitoring</t>
  </si>
  <si>
    <t>VO-01</t>
  </si>
  <si>
    <t>VCF Ops → NTP</t>
  </si>
  <si>
    <t>Time sync — primary/replica/data nodes</t>
  </si>
  <si>
    <t>VO-02</t>
  </si>
  <si>
    <t>VCF Ops → DNS</t>
  </si>
  <si>
    <t>DNS resolution</t>
  </si>
  <si>
    <t>VO-03</t>
  </si>
  <si>
    <t>VCF Ops → LDAP</t>
  </si>
  <si>
    <t>AD/LDAP Server</t>
  </si>
  <si>
    <t>389</t>
  </si>
  <si>
    <t>LDAP directory</t>
  </si>
  <si>
    <t>VO-04</t>
  </si>
  <si>
    <t>VCF Ops → LDAPS</t>
  </si>
  <si>
    <t>636</t>
  </si>
  <si>
    <t>LDAPS secure directory</t>
  </si>
  <si>
    <t>VO-05</t>
  </si>
  <si>
    <t>VCF Ops → Global Catalog</t>
  </si>
  <si>
    <t>3268/3269</t>
  </si>
  <si>
    <t>Global Catalog AD</t>
  </si>
  <si>
    <t>VO-06</t>
  </si>
  <si>
    <t>VCF Ops → SFTP</t>
  </si>
  <si>
    <t>SFTP Server</t>
  </si>
  <si>
    <t>SFTP Backup – TCP/22</t>
  </si>
  <si>
    <t xml:space="preserve">Normalized SFTP backup entry linked to IP Input Sheet (SFTP_SRV).			</t>
  </si>
  <si>
    <t>VO-07</t>
  </si>
  <si>
    <t>VCF Ops → vCenter (inventory)</t>
  </si>
  <si>
    <t>10443</t>
  </si>
  <si>
    <t>vCenter inventory service</t>
  </si>
  <si>
    <t>VO-08</t>
  </si>
  <si>
    <t>VCF Ops → vCenter (HTTPS)</t>
  </si>
  <si>
    <t>HTTPS API comms</t>
  </si>
  <si>
    <t>VO-09</t>
  </si>
  <si>
    <t>VCF Ops → ESXi</t>
  </si>
  <si>
    <t>Management operations</t>
  </si>
  <si>
    <t>VO-10</t>
  </si>
  <si>
    <t>VCF Ops → NSX Manager</t>
  </si>
  <si>
    <t>NSX API metrics/inventory</t>
  </si>
  <si>
    <t>VA-01</t>
  </si>
  <si>
    <t>VCF Auto → vCenter</t>
  </si>
  <si>
    <t>API and Web Access — mgmt+API</t>
  </si>
  <si>
    <t>VA-02</t>
  </si>
  <si>
    <t>VCF Auto → ESXi (902)</t>
  </si>
  <si>
    <t>902</t>
  </si>
  <si>
    <t>VM Console VMRC/MKS</t>
  </si>
  <si>
    <t>VA-03</t>
  </si>
  <si>
    <t>VCF Auto → ESXi (443)</t>
  </si>
  <si>
    <t>Web Console</t>
  </si>
  <si>
    <t>VA-04</t>
  </si>
  <si>
    <t>VCF Auto → ESXi (SSH)</t>
  </si>
  <si>
    <t>SSH</t>
  </si>
  <si>
    <t>Admin restrict to jump host</t>
  </si>
  <si>
    <t>VA-05</t>
  </si>
  <si>
    <t>VCF Auto → NSX Mgr</t>
  </si>
  <si>
    <t>NSX Manager Cluster</t>
  </si>
  <si>
    <t>NSX Manager API HTTPS — policy provisioning</t>
  </si>
  <si>
    <t>VA-06</t>
  </si>
  <si>
    <t>VCF Auto → Supervisor VIP (443)</t>
  </si>
  <si>
    <t>Supervisor Control Plane VIP</t>
  </si>
  <si>
    <t>vSphere Supervisor API via LB</t>
  </si>
  <si>
    <t>VA-07</t>
  </si>
  <si>
    <t>VCF Auto → Supervisor VIP (6443)</t>
  </si>
  <si>
    <t>Kubernetes API server</t>
  </si>
  <si>
    <t>VN-01</t>
  </si>
  <si>
    <t>VON → vCenter (IPFIX)</t>
  </si>
  <si>
    <t>VCF Ops for Networks (VON)</t>
  </si>
  <si>
    <t>2055</t>
  </si>
  <si>
    <t>IPFIX (deprecated → use 4739)</t>
  </si>
  <si>
    <t>Port 2055 deprecated</t>
  </si>
  <si>
    <t>VN-02</t>
  </si>
  <si>
    <t>VON → ESXi (IPFIX)</t>
  </si>
  <si>
    <t>4739</t>
  </si>
  <si>
    <t>IPFIX + NETFLOW export</t>
  </si>
  <si>
    <t>VN-03</t>
  </si>
  <si>
    <t>VON → NSX Manager</t>
  </si>
  <si>
    <t>HTTPS NSX API — inventory+config+events</t>
  </si>
  <si>
    <t>VN-04</t>
  </si>
  <si>
    <t>VON → DNS</t>
  </si>
  <si>
    <t>DNS name resolution</t>
  </si>
  <si>
    <t>VN-05</t>
  </si>
  <si>
    <t>VON → NTP</t>
  </si>
  <si>
    <t>Time server</t>
  </si>
  <si>
    <t>VN-06</t>
  </si>
  <si>
    <t>VON → Switches (SNMP)</t>
  </si>
  <si>
    <t>Multi-Vendor Switches/Routers</t>
  </si>
  <si>
    <t>[Physical Device IPs]</t>
  </si>
  <si>
    <t>161</t>
  </si>
  <si>
    <t>SNMP Polling</t>
  </si>
  <si>
    <t>Confirm physical device IPs with network team</t>
  </si>
  <si>
    <t>VN-07</t>
  </si>
  <si>
    <t>VON → VON Collector (HTTPS)</t>
  </si>
  <si>
    <t>VCF OPS Network Collector (M7)</t>
  </si>
  <si>
    <t>VON Collector API — flow collection</t>
  </si>
  <si>
    <t>M7 — added per Raju</t>
  </si>
  <si>
    <t>VN-08</t>
  </si>
  <si>
    <t>VON → VON Collector (SSH)</t>
  </si>
  <si>
    <t>SSH management — collector node</t>
  </si>
  <si>
    <t>M7 — Admin, restrict to jump host</t>
  </si>
  <si>
    <t>VO-11</t>
  </si>
  <si>
    <t>VCFO → VON Collector</t>
  </si>
  <si>
    <t>VCFO → collector metrics/config</t>
  </si>
  <si>
    <t>M7 — per Raju</t>
  </si>
  <si>
    <t>BGP-01</t>
  </si>
  <si>
    <t>Edge 1 Uplink1 → ToR Rack1 BGP (VLAN 2606)</t>
  </si>
  <si>
    <t>NSX Edge 1 — Uplink 1 (Rack 1)</t>
  </si>
  <si>
    <t>ToR BGP Peer (VLAN 2606)</t>
  </si>
  <si>
    <t>179</t>
  </si>
  <si>
    <t>BGP peering — bidirectional</t>
  </si>
  <si>
    <t>EU1→EU11</t>
  </si>
  <si>
    <t>BGP-02</t>
  </si>
  <si>
    <t>Edge 1 Uplink2 → ToR Rack1 BGP (VLAN 2607)</t>
  </si>
  <si>
    <t>NSX Edge 1 — Uplink 2 (Rack 1)</t>
  </si>
  <si>
    <t>ToR BGP Peer (VLAN 2607)</t>
  </si>
  <si>
    <t>EU2→EU12</t>
  </si>
  <si>
    <t>BGP-03</t>
  </si>
  <si>
    <t>Edge 2 Uplink1 → ToR Rack1 BGP (VLAN 2606)</t>
  </si>
  <si>
    <t>NSX Edge 2 — Uplink 1 (Rack 1)</t>
  </si>
  <si>
    <t>EU3→EU11</t>
  </si>
  <si>
    <t>BGP-04</t>
  </si>
  <si>
    <t>Edge 2 Uplink2 → ToR Rack1 BGP (VLAN 2607)</t>
  </si>
  <si>
    <t>NSX Edge 2 — Uplink 2 (Rack 1)</t>
  </si>
  <si>
    <t>EU4→EU12</t>
  </si>
  <si>
    <t>BGP-05</t>
  </si>
  <si>
    <t>Edge 3 Uplink1 → ToR Rack2 BGP (VLAN 2608)</t>
  </si>
  <si>
    <t>NSX Edge 3 — Uplink 1 (Rack 2)</t>
  </si>
  <si>
    <t>ToR BGP Peer (VLAN 2608)</t>
  </si>
  <si>
    <t>EU5→EU13</t>
  </si>
  <si>
    <t>BGP-06</t>
  </si>
  <si>
    <t>Edge 3 Uplink2 → ToR Rack2 BGP (VLAN 2609)</t>
  </si>
  <si>
    <t>NSX Edge 3 — Uplink 2 (Rack 2)</t>
  </si>
  <si>
    <t>ToR BGP Peer (VLAN 2609)</t>
  </si>
  <si>
    <t>EU6→EU14</t>
  </si>
  <si>
    <t>BGP-07</t>
  </si>
  <si>
    <t>Edge 4 Uplink1 → ToR Rack2 BGP (VLAN 2608)</t>
  </si>
  <si>
    <t>NSX Edge 4 — Uplink 1 (Rack 2)</t>
  </si>
  <si>
    <t>EU7→EU13</t>
  </si>
  <si>
    <t>BGP-08</t>
  </si>
  <si>
    <t>Edge 4 Uplink2 → ToR Rack2 BGP (VLAN 2609)</t>
  </si>
  <si>
    <t>NSX Edge 4 — Uplink 2 (Rack 2)</t>
  </si>
  <si>
    <t>EU8→EU14</t>
  </si>
  <si>
    <t>TEP-01</t>
  </si>
  <si>
    <t>Edge TEP ↔ Host TEP (intra-AZ GENEVE)</t>
  </si>
  <si>
    <t>NSX Edge TEP</t>
  </si>
  <si>
    <t>NSX Host TEP (ESXi)</t>
  </si>
  <si>
    <t>6081</t>
  </si>
  <si>
    <t>GENEVE intra-AZ overlay</t>
  </si>
  <si>
    <t>EU9 — MTU 1600+ required</t>
  </si>
  <si>
    <t>TEP-02</t>
  </si>
  <si>
    <t>Edge TEP ↔ Edge TEP (HA heartbeat)</t>
  </si>
  <si>
    <t>NSX Edge TEP (peer)</t>
  </si>
  <si>
    <t>GENEVE intra-AZ Edge HA</t>
  </si>
  <si>
    <t>EU9 — same AZ only</t>
  </si>
  <si>
    <t>TEP-03</t>
  </si>
  <si>
    <t>Remote TEP cross-AZ GENEVE</t>
  </si>
  <si>
    <t>NSX Remote TEP (RTEP)</t>
  </si>
  <si>
    <t>NSX Remote TEP (peer AZ)</t>
  </si>
  <si>
    <t>GENEVE cross-AZ via Super Spine</t>
  </si>
  <si>
    <t>EU10 — VLAN 2605 via Super Spine</t>
  </si>
  <si>
    <t>BFD-01</t>
  </si>
  <si>
    <t>BFD — Edge1 Uplink1 to ToR fast failover</t>
  </si>
  <si>
    <t>NSX Edge 1 Uplink 1</t>
  </si>
  <si>
    <t>ToR BGP Peer Rack1 VLAN2606</t>
  </si>
  <si>
    <t>3784</t>
  </si>
  <si>
    <t>BFD fast failover</t>
  </si>
  <si>
    <t>BFD-02</t>
  </si>
  <si>
    <t>BFD — Edge1 Uplink2 to ToR fast failover</t>
  </si>
  <si>
    <t>NSX Edge 1 Uplink 2</t>
  </si>
  <si>
    <t>ToR BGP Peer Rack1 VLAN2607</t>
  </si>
  <si>
    <t>BFD-03</t>
  </si>
  <si>
    <t>BFD — Edge3 Uplink1 to ToR fast failover</t>
  </si>
  <si>
    <t>NSX Edge 3 Uplink 1</t>
  </si>
  <si>
    <t>ToR BGP Peer Rack2 VLAN2608</t>
  </si>
  <si>
    <t>BFD-04</t>
  </si>
  <si>
    <t>BFD — Edge3 Uplink2 to ToR fast failover</t>
  </si>
  <si>
    <t>NSX Edge 3 Uplink 2</t>
  </si>
  <si>
    <t>ToR BGP Peer Rack2 VLAN2609</t>
  </si>
  <si>
    <t>BFD-01b</t>
  </si>
  <si>
    <t>BFD Echo — Edge1 Uplink1 → ToR Rack1 VLAN2606 (3785)</t>
  </si>
  <si>
    <t>3785</t>
  </si>
  <si>
    <t>BFD echo mode — fast failover detection</t>
  </si>
  <si>
    <t xml:space="preserve"> BFD echo - EU1→EU1</t>
  </si>
  <si>
    <t>BFD-02b</t>
  </si>
  <si>
    <t>BFD Echo — Edge1 Uplink2 → ToR Rack1 VLAN2607 (3785)</t>
  </si>
  <si>
    <t xml:space="preserve"> BFD echo - EU2→EU12</t>
  </si>
  <si>
    <t>BFD-03b</t>
  </si>
  <si>
    <t>BFD Echo — Edge3 Uplink1 → ToR Rack2 VLAN2608 (3785)</t>
  </si>
  <si>
    <t>BFD echo -EU5→EU13</t>
  </si>
  <si>
    <t>BFD-04b</t>
  </si>
  <si>
    <t>BFD Echo — Edge3 Uplink2 → ToR Rack2 VLAN2609 (3785)</t>
  </si>
  <si>
    <t>BFD echo -  EU6→EU14</t>
  </si>
  <si>
    <t>BFD-09</t>
  </si>
  <si>
    <t>BFD Multi-hop — Edge → Remote Edge cross-AZ (4784)</t>
  </si>
  <si>
    <t>NSX Edge Nodes (local AZ — EDGE_TEP)</t>
  </si>
  <si>
    <t>NSX Edge Nodes (remote AZ — EDGE_TEP)</t>
  </si>
  <si>
    <t>4784</t>
  </si>
  <si>
    <t>BFD multi-hop RFC 5883 — cross-AZ Inter-SR fast failover</t>
  </si>
  <si>
    <t xml:space="preserve"> cross-AZ T0 SR failover  EU9(AZ1)↔EU9(AZ2)</t>
  </si>
  <si>
    <t xml:space="preserve">NSX FEDERATION INTER-SITE RULES  (GM ↔ LM)  </t>
  </si>
  <si>
    <t>FED-01</t>
  </si>
  <si>
    <t>NSX GM → NSX LM (all AZs) — API Sync</t>
  </si>
  <si>
    <t>NSX Global Manager (M3)</t>
  </si>
  <si>
    <t>NSX Local Manager (M2 — all AZs)</t>
  </si>
  <si>
    <t>API &amp; Management Plane synchronisation — Federation config push</t>
  </si>
  <si>
    <t>GM→LM TCP 443 must be whitelisted for Federation</t>
  </si>
  <si>
    <t>FED-03</t>
  </si>
  <si>
    <t>NSX GM → NSX LM (all AZs) — Async Replication</t>
  </si>
  <si>
    <t>1236</t>
  </si>
  <si>
    <t>Asynchronous Replication — core engine pushing Global config to Local Managers</t>
  </si>
  <si>
    <t>TCP 1236 NEW — critical for Federation policy distribution</t>
  </si>
  <si>
    <t>FED-05</t>
  </si>
  <si>
    <t>T0 SR Inter-Site BGP (AZ1 Edge ↔ AZ2 Edge)</t>
  </si>
  <si>
    <t>NSX Edge Uplinks (Active T0 SR)</t>
  </si>
  <si>
    <t>NSX Remote Edge (Peer AZ T0 SR)</t>
  </si>
  <si>
    <t>Inter-SR BGP — Service Router routing updates across AZs for Federation</t>
  </si>
  <si>
    <t xml:space="preserve"> inter-SR BGP distinct from Edge→ToR BGP (BGP-01 to BGP-08)</t>
  </si>
  <si>
    <t>FED-07</t>
  </si>
  <si>
    <t>NSX GM Cluster — GM Node ↔ GM peer (TCP 15026)</t>
  </si>
  <si>
    <t>NSX Global Manager Node</t>
  </si>
  <si>
    <t>NSX Global Manager Node (peer)</t>
  </si>
  <si>
    <t>15026</t>
  </si>
  <si>
    <t>NSX GM cluster comms — quorum + config sync</t>
  </si>
  <si>
    <t xml:space="preserve"> GM cluster comm  M3↔M3</t>
  </si>
  <si>
    <t>VAMI-01</t>
  </si>
  <si>
    <t>Fleet Mgr → vCenter VAMI (5480)</t>
  </si>
  <si>
    <t>vCenter Server (VAMI)</t>
  </si>
  <si>
    <t>5480</t>
  </si>
  <si>
    <t>VAMI — Virtual Appliance Mgmt Interface — lifecycle/config/health</t>
  </si>
  <si>
    <t>Port note: Port 5480 VAMI. vlsr1 IP 192.168.188.1. Required for Fleet Mgr lifecycle ops on all VCF appliances.</t>
  </si>
  <si>
    <t>VAMI-02</t>
  </si>
  <si>
    <t>Fleet Mgr → SDDC Manager VAMI (5480)</t>
  </si>
  <si>
    <t>SDDC Manager (VAMI)</t>
  </si>
  <si>
    <t>SDDC Manager VAMI — lifecycle and config management</t>
  </si>
  <si>
    <t>Port note: Port 5480 — SDDC Manager appliance VAMI interface</t>
  </si>
  <si>
    <t>VAMI-03</t>
  </si>
  <si>
    <t>Fleet Mgr → NSX Manager VAMI (5480)</t>
  </si>
  <si>
    <t>NSX Manager (VAMI)</t>
  </si>
  <si>
    <t>NSX Manager VAMI — appliance lifecycle management</t>
  </si>
  <si>
    <t>Port note: Port 5480 — NSX Manager appliance VAMI</t>
  </si>
  <si>
    <t>VAMI-04</t>
  </si>
  <si>
    <t>VCFA → All VCF Appliances VAMI (5480)</t>
  </si>
  <si>
    <t>vCenter / NSX / SDDC (VAMI)</t>
  </si>
  <si>
    <t>VCFA automation engine — drives appliance lifecycle via VAMI</t>
  </si>
  <si>
    <t>Port note: Port 5480 — VCFA lifecycle automation needs VAMI on all managed appliances</t>
  </si>
  <si>
    <t>SRM-01</t>
  </si>
  <si>
    <t>vSphere Replication → vCenter SRM Listener (9086)</t>
  </si>
  <si>
    <t>vSphere Replication Appliance (M8)</t>
  </si>
  <si>
    <t>vCenter / SRM (sfoMGMT-1-1-VC1)</t>
  </si>
  <si>
    <t>9086</t>
  </si>
  <si>
    <t>SRM listener — replication traffic + PSC/SSO registration. Local host 192.168.188.1</t>
  </si>
  <si>
    <t>Port note: Port 9086 SRM listener. sfoMGMT-1-1-VC1.test.net. Local 192.168.188.1. Verify with network team before whitelist.</t>
  </si>
  <si>
    <t>SRM-02</t>
  </si>
  <si>
    <t>Remote Site → SRM Listener (9086 inbound)</t>
  </si>
  <si>
    <t>Remote Site vSphere Replication</t>
  </si>
  <si>
    <t>[Remote Site IP]</t>
  </si>
  <si>
    <t>SRM Local Listener (M8 — 192.168.188.1)</t>
  </si>
  <si>
    <t>SRM cross-site replication — remote site connects to local SRM listener</t>
  </si>
  <si>
    <t>Inbound</t>
  </si>
  <si>
    <t>Port note: Port 9086 inbound from remote replication site. Required for paired-site failover.</t>
  </si>
  <si>
    <t>VMware Live Recovery (VLR) / Site Protection &amp; DR Rules</t>
  </si>
  <si>
    <t>LVR-01</t>
  </si>
  <si>
    <t>VLR → vCenter (HTTPS/SSO Registration)</t>
  </si>
  <si>
    <t>VMware Live Recovery (VLR)</t>
  </si>
  <si>
    <t>SSO registration + API</t>
  </si>
  <si>
    <t>CF row 119/148 — VLR registers with vCenter SSO + certificate replacement</t>
  </si>
  <si>
    <t>CF row 119 — VLR registers with vCenter SSO at :5480 and :443</t>
  </si>
  <si>
    <t>LVR-02</t>
  </si>
  <si>
    <t>VLR → vCenter VAMI (5480)</t>
  </si>
  <si>
    <t>VAMI appliance management</t>
  </si>
  <si>
    <t>CF row 119 — VLR VAMI at :5480 for certificate + initial config</t>
  </si>
  <si>
    <t>CF row 119 — VLR VAMI management interface</t>
  </si>
  <si>
    <t>LVR-03</t>
  </si>
  <si>
    <t>VLR → ESXi Heartbeat (902)</t>
  </si>
  <si>
    <t>ESXi Hosts (Mgmt Domain)</t>
  </si>
  <si>
    <t>Heartbeat / VMRC</t>
  </si>
  <si>
    <t>CF row 165 — vSphere Replication VMkernel heartbeat to ESXi hosts</t>
  </si>
  <si>
    <t>CF row 165-175 — vSphere Replication VMkernel NFC traffic to ESXi hosts</t>
  </si>
  <si>
    <t>LVR-04</t>
  </si>
  <si>
    <t>VLR ↔ ESXi vSphere Replication NFC (8043)</t>
  </si>
  <si>
    <t>8043</t>
  </si>
  <si>
    <t>vSphere Replication NFC</t>
  </si>
  <si>
    <t>CF row 165-175 — vSphere Replication changed data block transfer</t>
  </si>
  <si>
    <t>LVR-05</t>
  </si>
  <si>
    <t>VLR ↔ ESXi vSphere Replication NFC (31031)</t>
  </si>
  <si>
    <t>31031</t>
  </si>
  <si>
    <t>vSphere Replication NFC changed blocks</t>
  </si>
  <si>
    <t>CF row 165-175 — vSphere Replication NFC alternate port</t>
  </si>
  <si>
    <t>LVR-06</t>
  </si>
  <si>
    <t>VLR ↔ ESXi vSphere Replication NFC (44046)</t>
  </si>
  <si>
    <t>44046</t>
  </si>
  <si>
    <t>vSphere Replication NFC alternate</t>
  </si>
  <si>
    <t>CF row 165-175 — Alternate NFC port for vSphere Replication</t>
  </si>
  <si>
    <t>CF row 112 — Domain Name Servers required for LVR</t>
  </si>
  <si>
    <t>LVR-07</t>
  </si>
  <si>
    <t>VLR → DNS</t>
  </si>
  <si>
    <t>CF row 112 — Domain Name Servers required for VLR appliance</t>
  </si>
  <si>
    <t>CF row 108 — NTP Servers required for LVR</t>
  </si>
  <si>
    <t>LVR-08</t>
  </si>
  <si>
    <t>VLR → NTP</t>
  </si>
  <si>
    <t>Time sync</t>
  </si>
  <si>
    <t>CF row 108 — NTP Servers required for VLR appliance</t>
  </si>
  <si>
    <t>LVR-09b</t>
  </si>
  <si>
    <t>VLR → vCenter SSO/STS (TCP 7444)</t>
  </si>
  <si>
    <t>vCenter Server (SSO/STS)</t>
  </si>
  <si>
    <t>7444</t>
  </si>
  <si>
    <t>SSO Token Service — VLR authentication to vCenter</t>
  </si>
  <si>
    <t>KB 312798 — required for VLR SSO integration with vCenter</t>
  </si>
  <si>
    <t>LVR-09c</t>
  </si>
  <si>
    <t>VLR → vCenter Inventory Service (TCP 10443)</t>
  </si>
  <si>
    <t>vCenter Server (Inventory)</t>
  </si>
  <si>
    <t>vCenter inventory service — VLR lists target datastores</t>
  </si>
  <si>
    <t>KB 312798 — VR UI uses inventory service of remote vCenter</t>
  </si>
  <si>
    <t>LVR-13</t>
  </si>
  <si>
    <t>VLR → vSphere Replication Server (SOAP 8123)</t>
  </si>
  <si>
    <t>VMware Live Recovery (VLR) Appliance</t>
  </si>
  <si>
    <t>vSphere Replication Server (intra-site)</t>
  </si>
  <si>
    <t>8123</t>
  </si>
  <si>
    <t>TCP/SOAP</t>
  </si>
  <si>
    <t>Mgmt traffic to additional vSphere Replication servers — intra-site</t>
  </si>
  <si>
    <t>KB 312798 — VR 8.x appliance mgmt to additional VR servers</t>
  </si>
  <si>
    <t>LVR-14</t>
  </si>
  <si>
    <t>ESXi → VLR Encrypted Replication (TCP 32032)</t>
  </si>
  <si>
    <t>ESXi Hosts (Mgmt Domain — primary site)</t>
  </si>
  <si>
    <t>32032</t>
  </si>
  <si>
    <t>Encrypted Enhanced Replication traffic — primary ESXi to VR appliance/server</t>
  </si>
  <si>
    <t>KB 312798 — required when VM replication has network encryption enabled</t>
  </si>
  <si>
    <t>AES-220  |  Firewall Rules  |  Management Domain &amp; WLD ESXi → Fleet</t>
  </si>
  <si>
    <t>MF-01</t>
  </si>
  <si>
    <t>vCenter → Fleet Mgr (HTTPS)</t>
  </si>
  <si>
    <t>VCF Ops Fleet Manager</t>
  </si>
  <si>
    <t>Core APIs/HTTPS lifecycle+orchestration</t>
  </si>
  <si>
    <t>Ticket req #4  Mgmt→Fleet</t>
  </si>
  <si>
    <t>MF-02</t>
  </si>
  <si>
    <t>vCenter → VCFO (API)</t>
  </si>
  <si>
    <t>API comms bidirectional</t>
  </si>
  <si>
    <t>MF-03</t>
  </si>
  <si>
    <t>vCenter → VCFO (node mgr)</t>
  </si>
  <si>
    <t>8443</t>
  </si>
  <si>
    <t>Node Manager</t>
  </si>
  <si>
    <t>MF-04</t>
  </si>
  <si>
    <t>vCenter → VCFA (API)</t>
  </si>
  <si>
    <t>API bidirectional</t>
  </si>
  <si>
    <t>MF-05</t>
  </si>
  <si>
    <t>vCenter → VOL (syslog)</t>
  </si>
  <si>
    <t>VCF Operations for Logs</t>
  </si>
  <si>
    <t>514</t>
  </si>
  <si>
    <t>Syslog remote logging</t>
  </si>
  <si>
    <t>MF-06</t>
  </si>
  <si>
    <t>vCenter → VOL (syslog TLS)</t>
  </si>
  <si>
    <t>1514</t>
  </si>
  <si>
    <t>Syslog over TLS</t>
  </si>
  <si>
    <t>MF-07</t>
  </si>
  <si>
    <t>vCenter → VON (IPFIX)</t>
  </si>
  <si>
    <t>VCF Ops for Networks</t>
  </si>
  <si>
    <t>IPFIX flow data vDS→NSX</t>
  </si>
  <si>
    <t>vDS distributed switches send IPFIX</t>
  </si>
  <si>
    <t>MF-08</t>
  </si>
  <si>
    <t>NSX Manager → VCFO (API)</t>
  </si>
  <si>
    <t>API/inventory collection</t>
  </si>
  <si>
    <t>MF-09</t>
  </si>
  <si>
    <t>NSX Mgr → VOL (syslog)</t>
  </si>
  <si>
    <t>NSX node syslog</t>
  </si>
  <si>
    <t>MF-10</t>
  </si>
  <si>
    <t>NSX Mgr → VOL (syslog TLS)</t>
  </si>
  <si>
    <t>6514</t>
  </si>
  <si>
    <t>MF-11</t>
  </si>
  <si>
    <t>SDDC Mgr → Fleet Mgr (HTTPS)</t>
  </si>
  <si>
    <t>HTTPS+API — fleet orchestration</t>
  </si>
  <si>
    <t>MF-12</t>
  </si>
  <si>
    <t>SDDC Mgr → Fleet Mgr (SSH)</t>
  </si>
  <si>
    <t>SSH — deployment+troubleshooting</t>
  </si>
  <si>
    <t>MF-13</t>
  </si>
  <si>
    <t>SDDC Mgr → VCFA (HTTPS)</t>
  </si>
  <si>
    <t>API access management</t>
  </si>
  <si>
    <t>MF-14</t>
  </si>
  <si>
    <t>SDDC Mgr → VCFA (SSH)</t>
  </si>
  <si>
    <t>SSH cluster nodes</t>
  </si>
  <si>
    <t>MF-15</t>
  </si>
  <si>
    <t>SDDC Mgr → VCFO (HTTPS)</t>
  </si>
  <si>
    <t>API access cluster+nodes</t>
  </si>
  <si>
    <t>MF-16</t>
  </si>
  <si>
    <t>SDDC Mgr → VCFO (SSH)</t>
  </si>
  <si>
    <t>SSH cluster+collector nodes</t>
  </si>
  <si>
    <t>MF-16b</t>
  </si>
  <si>
    <t>SDDC Mgr → vCenter (SSH)</t>
  </si>
  <si>
    <t>SSH — SDDC Manager to vCenter</t>
  </si>
  <si>
    <t xml:space="preserve"> SDDC Mgr → vCenter port 22</t>
  </si>
  <si>
    <t>MF-16c</t>
  </si>
  <si>
    <t>SDDC Mgr → ESXi Hosts (SSH)</t>
  </si>
  <si>
    <t>SSH — SDDC Manager to ESXi hosts</t>
  </si>
  <si>
    <t>SDDC Mgr → ESXi port 22</t>
  </si>
  <si>
    <t>MF-17</t>
  </si>
  <si>
    <t>SDDC Mgr → VOL (syslog)</t>
  </si>
  <si>
    <t>Syslog based logging</t>
  </si>
  <si>
    <t>MF-18</t>
  </si>
  <si>
    <t>SDDC Mgr → VOL (9000)</t>
  </si>
  <si>
    <t>9000</t>
  </si>
  <si>
    <t>Log ingestion API CFAPI unencrypted</t>
  </si>
  <si>
    <t>MF-19</t>
  </si>
  <si>
    <t>SDDC Mgr → VOL (HTTPS)</t>
  </si>
  <si>
    <t>Logs cluster VIP+nodes</t>
  </si>
  <si>
    <t>MF-20</t>
  </si>
  <si>
    <t>SDDC Mgr → VOL (9543)</t>
  </si>
  <si>
    <t>9543</t>
  </si>
  <si>
    <t>API access management ops</t>
  </si>
  <si>
    <t>MF-21</t>
  </si>
  <si>
    <t>SDDC Mgr → VIDB (HTTPS)</t>
  </si>
  <si>
    <t>VCF SSO API — SDDC Mgr auth</t>
  </si>
  <si>
    <t>Critical  SSO dependency</t>
  </si>
  <si>
    <t>MF-22</t>
  </si>
  <si>
    <t>SDDC Mgr → VIDB (SSH)</t>
  </si>
  <si>
    <t>SSH SSO bringup ops</t>
  </si>
  <si>
    <t>Admin — restrict to jump host</t>
  </si>
  <si>
    <t>MF-23</t>
  </si>
  <si>
    <t>ESXi → VOL (syslog)</t>
  </si>
  <si>
    <t>vSphere host syslog to VOL</t>
  </si>
  <si>
    <t>Ticket req #4 — ESXi→Fleet</t>
  </si>
  <si>
    <t>MF-24</t>
  </si>
  <si>
    <t>ESXi → VOL (syslog TLS)</t>
  </si>
  <si>
    <t>Secure syslog over TLS</t>
  </si>
  <si>
    <t>MF-25</t>
  </si>
  <si>
    <t>ESXi → VON (IPFIX)</t>
  </si>
  <si>
    <t>IPFIX flow export from ESXi</t>
  </si>
  <si>
    <t>MF-26</t>
  </si>
  <si>
    <t>ESXi (Mgmt) → VOL (syslog)</t>
  </si>
  <si>
    <t>Mgmt domain ESXi syslog</t>
  </si>
  <si>
    <t>MF-27</t>
  </si>
  <si>
    <t>ESXi (Mgmt) → VOL (TLS)</t>
  </si>
  <si>
    <t>Secure syslog TLS</t>
  </si>
  <si>
    <t>MF-28</t>
  </si>
  <si>
    <t>ICMP All → Fleet (reachability)</t>
  </si>
  <si>
    <t>All Mgmt Domain Components</t>
  </si>
  <si>
    <t>All Fleet Components</t>
  </si>
  <si>
    <t>[All Fleet IPs]</t>
  </si>
  <si>
    <t>ICMP</t>
  </si>
  <si>
    <t>IP reachability — ping/traceroute</t>
  </si>
  <si>
    <t>ALL Fleet-level &amp; VCF instance-level — mandatory</t>
  </si>
  <si>
    <t>MF-29</t>
  </si>
  <si>
    <t>VON Collector → VON (HTTPS)</t>
  </si>
  <si>
    <t>Collector → VON bidirectional API</t>
  </si>
  <si>
    <t>MF-30</t>
  </si>
  <si>
    <t>VON Collector → NSX Manager</t>
  </si>
  <si>
    <t>Collector pulls NSX flow/topology data</t>
  </si>
  <si>
    <t>MF-31</t>
  </si>
  <si>
    <t>VON Collector → vCenter</t>
  </si>
  <si>
    <t>Collector pulls vCenter inventory</t>
  </si>
  <si>
    <t>MF-32</t>
  </si>
  <si>
    <t>SDDC Mgr → VON Collector</t>
  </si>
  <si>
    <t>SDDC lifecycle management of collector</t>
  </si>
  <si>
    <t>NSX FEDERATION INTER-SITE RULES  (LM ↔ GM)  —  Added per NSX team requirement</t>
  </si>
  <si>
    <t>NSX GM → LM  TCP 443 (API + Mgmt Plane Sync)</t>
  </si>
  <si>
    <t>NSX Local Manager (M2)</t>
  </si>
  <si>
    <t>NSX Federation — API &amp; Management Plane Synchronisation GM→LM</t>
  </si>
  <si>
    <t>NSX Federation note: Federation port — GM pushes policy to LM. Required per AZ.</t>
  </si>
  <si>
    <t>FED-02</t>
  </si>
  <si>
    <t>NSX LM → GM  TCP 443 (reverse sync)</t>
  </si>
  <si>
    <t>NSX Federation — API &amp; Management Plane Sync LM→GM (return path)</t>
  </si>
  <si>
    <t>NSX Federation note: Bidirectional — LM must also reach GM on 443.</t>
  </si>
  <si>
    <t>NSX GM → LM  TCP 1236 (Async Replication)  MISSING</t>
  </si>
  <si>
    <t>NSX Federation — Asynchronous Replication. Core engine pushing Global config from GM to all LMs. WITHOUT THIS FEDERATION WILL NOT SYNC.</t>
  </si>
  <si>
    <t>NSX Federation note: TCP 1236 was MISSING — added per NSX team 23/03/2026. WHITELIST IMMEDIATELY.</t>
  </si>
  <si>
    <t>FED-04</t>
  </si>
  <si>
    <t>NSX LM → GM  TCP 1236 (Async Replication return)</t>
  </si>
  <si>
    <t>NSX Federation — Async Replication return path LM→GM</t>
  </si>
  <si>
    <t>NSX Federation note: Bidirectional — both directions required for AR sync.</t>
  </si>
  <si>
    <t>NSX Edge → Remote Edge  TCP 179 (Inter-SR BGP)</t>
  </si>
  <si>
    <t>NSX Edge Node (local)</t>
  </si>
  <si>
    <t>NSX Remote Edge Node</t>
  </si>
  <si>
    <t>NSX Federation — Inter-Site BGP between Service Routers across AZs. Used for routing updates between locations.</t>
  </si>
  <si>
    <t>NSX Federation note: Inter-SR BGP — separate from Edge→ToR BGP. Cross-AZ Service Router routing.</t>
  </si>
  <si>
    <t>FED-06</t>
  </si>
  <si>
    <t>NSX Edge → Remote Edge  UDP 6081 (GENEVE cross-AZ)</t>
  </si>
  <si>
    <t>NSX Edge Node RTEP (local)</t>
  </si>
  <si>
    <t>NSX Remote Edge Node RTEP</t>
  </si>
  <si>
    <t>NSX Federation — GENEVE overlay for stretched logical segments across AZs via RTEP VLAN 2605.</t>
  </si>
  <si>
    <t>NSX Federation note: Already covered as TEP-03 but added here explicitly as Federation requirement. MTU 1700+ required.</t>
  </si>
  <si>
    <t>VAMI-05</t>
  </si>
  <si>
    <t>vCenter VAMI ↔ Fleet Mgr (5480 bidirectional)</t>
  </si>
  <si>
    <t>VAMI bidirectional — appliance management response path</t>
  </si>
  <si>
    <t>Port note: Port 5480 VAMI — bidirectional between all appliances and management components</t>
  </si>
  <si>
    <t>VAMI-06</t>
  </si>
  <si>
    <t>SDDC Manager → All Appliances VAMI (5480)</t>
  </si>
  <si>
    <t>All VCF Appliances (vCenter/NSX/VOL)</t>
  </si>
  <si>
    <t>SDDC Mgr lifecycle — primary lifecycle manager for all VCF appliances via VAMI</t>
  </si>
  <si>
    <t>Port note: Port 5480 — SDDC Mgr drives all appliance lifecycle via VAMI interface</t>
  </si>
  <si>
    <t>VAMI-07</t>
  </si>
  <si>
    <t>ESXi Hosts → vCenter VAMI (5480)</t>
  </si>
  <si>
    <t>ESXi host provisioning and management traffic to vCenter VAMI</t>
  </si>
  <si>
    <t>Port note: Port 5480 — ESXi hosts communicate with vCenter VAMI during provisioning</t>
  </si>
  <si>
    <t>SRM-03</t>
  </si>
  <si>
    <t>PSC/vCenter → SRM Listener (9086)</t>
  </si>
  <si>
    <t>PSC/vCenter (sfoMGMT-1-1-PSC1.test.net)</t>
  </si>
  <si>
    <t>SRM Listener (Local Host 192.168.188.1)</t>
  </si>
  <si>
    <t>PSC SSO/vCenter registers with SRM for site protection on port 9086</t>
  </si>
  <si>
    <t>Port note: PSC sfoMGMT-1-1-PSC1.test.net, admin=administrator@vsphere.local. Port 9086.</t>
  </si>
  <si>
    <t>SRM-04</t>
  </si>
  <si>
    <t>SRM → Remote Site vCenter (9086 outbound)</t>
  </si>
  <si>
    <t>SRM / vSphere Replication (M8)</t>
  </si>
  <si>
    <t>Remote Site vCenter / SRM</t>
  </si>
  <si>
    <t>[Remote vCenter IP]</t>
  </si>
  <si>
    <t>SRM outbound — pairs with remote site for replication coordination and failover</t>
  </si>
  <si>
    <t>Port note: Port 9086 outbound to remote site. Required for pair-site registration and DR.</t>
  </si>
  <si>
    <t xml:space="preserve">  VMware Live Recovery (VLR) Rules  —  Inbound / Reverse</t>
  </si>
  <si>
    <t>LVR-09</t>
  </si>
  <si>
    <t>vCenter → VLR (HTTPS)</t>
  </si>
  <si>
    <t>vCenter → VLR management</t>
  </si>
  <si>
    <t>CF row 151 — vCenter reverse comms to VLR for site pair + recovery</t>
  </si>
  <si>
    <t>CF row 151 — vCenter Server registration back to VLR</t>
  </si>
  <si>
    <t>LVR-10</t>
  </si>
  <si>
    <t>vCenter → VLR VAMI (5480)</t>
  </si>
  <si>
    <t>VAMI bidirectional</t>
  </si>
  <si>
    <t>CF row 119 — VAMI management interface bidirectional</t>
  </si>
  <si>
    <t>LVR-11</t>
  </si>
  <si>
    <t>ESXi → VLR Heartbeat (902)</t>
  </si>
  <si>
    <t>Heartbeat reverse</t>
  </si>
  <si>
    <t>CF row 165 — ESXi VMkernel heartbeat reverse to VLR</t>
  </si>
  <si>
    <t>CF row 175 — vSphere Replication VMkernel reverse traffic</t>
  </si>
  <si>
    <t>LVR-12</t>
  </si>
  <si>
    <t>ESXi → VLR NFC (8043)</t>
  </si>
  <si>
    <t>vSphere Replication NFC reverse</t>
  </si>
  <si>
    <t>LVR-12b</t>
  </si>
  <si>
    <t>vCenter → VLR Appliance SOAP (TCP 8043)</t>
  </si>
  <si>
    <t>vCenter SOAP to VLR appliance — intra-site replication management</t>
  </si>
  <si>
    <t>KB 312798 — vCenter Server to VLR appliance SOAP (intra-site only)</t>
  </si>
  <si>
    <t>LVR-12c</t>
  </si>
  <si>
    <t>ESXi → VLR Replication Traffic (TCP 31031)</t>
  </si>
  <si>
    <t>Initial + ongoing replication traffic — ESXi primary to VLR recovery site</t>
  </si>
  <si>
    <t>KB 312798 — replication traffic must be open in both directions</t>
  </si>
  <si>
    <t>AES-220  |  Firewall Rules  |  Fleet → External Services</t>
  </si>
  <si>
    <t>Source IP and Destination IP auto-populate from '📋 IP Input Sheet'.  Fill in IPs there first.</t>
  </si>
  <si>
    <t>EX-01</t>
  </si>
  <si>
    <t>EX-02</t>
  </si>
  <si>
    <t>EX-03</t>
  </si>
  <si>
    <t>VCFO → DNS</t>
  </si>
  <si>
    <t>DNS</t>
  </si>
  <si>
    <t>Primary/Replica/Data nodes</t>
  </si>
  <si>
    <t>EX-04</t>
  </si>
  <si>
    <t>VCFO → NTP</t>
  </si>
  <si>
    <t>EX-05</t>
  </si>
  <si>
    <t>VCFO → LDAP</t>
  </si>
  <si>
    <t>EX-06</t>
  </si>
  <si>
    <t>VCFO → LDAPS</t>
  </si>
  <si>
    <t>Secure LDAP</t>
  </si>
  <si>
    <t>EX-07</t>
  </si>
  <si>
    <t>VCFO → Global Catalog</t>
  </si>
  <si>
    <t>Global Catalog</t>
  </si>
  <si>
    <t>EX-08</t>
  </si>
  <si>
    <t>VCFO → SFTP</t>
  </si>
  <si>
    <t>Normalized SFTP backup entry linked to IP Input Sheet (SFTP_SRV).</t>
  </si>
  <si>
    <t>EX-09</t>
  </si>
  <si>
    <t>VIDB → LDAP</t>
  </si>
  <si>
    <t>Directory lookups</t>
  </si>
  <si>
    <t>Identity Broker→AD</t>
  </si>
  <si>
    <t>EX-10</t>
  </si>
  <si>
    <t>VIDB → Secure LDAP</t>
  </si>
  <si>
    <t>EX-11</t>
  </si>
  <si>
    <t>VIDB → IdP Federation</t>
  </si>
  <si>
    <t>IdP Federation Endpoint</t>
  </si>
  <si>
    <t>[IdP Federation IP]</t>
  </si>
  <si>
    <t>SAML/OIDC/Okta/Ping/Entra ID</t>
  </si>
  <si>
    <t>External IdP — confirm IP with AMEX security team</t>
  </si>
  <si>
    <t>EX-12</t>
  </si>
  <si>
    <t>VIDB → DNS</t>
  </si>
  <si>
    <t>FQDN resolution for vCenter/NSX/SDDC</t>
  </si>
  <si>
    <t>EX-13</t>
  </si>
  <si>
    <t>VIDB → NTP</t>
  </si>
  <si>
    <t>EX-14</t>
  </si>
  <si>
    <t>VIDB → SFTP</t>
  </si>
  <si>
    <t>EX-15</t>
  </si>
  <si>
    <t>VIDB → CA Server</t>
  </si>
  <si>
    <t>SSL certificate  CA</t>
  </si>
  <si>
    <t>EX-16</t>
  </si>
  <si>
    <t>ICMP — Fleet→External</t>
  </si>
  <si>
    <t>[Fleet IPs]</t>
  </si>
  <si>
    <t>External Services</t>
  </si>
  <si>
    <t>[External IP]</t>
  </si>
  <si>
    <t>Reachability ping/traceroute</t>
  </si>
  <si>
    <t>ALL Fleet-level components</t>
  </si>
  <si>
    <t>EX-17</t>
  </si>
  <si>
    <t>NSX GM → SFTP Backup</t>
  </si>
  <si>
    <t>Explicit NSX Global Manager backup path to external SFTP per NSX LLD.</t>
  </si>
  <si>
    <t>AES-220  |  Route Table  |  Fleet ↔ Management Domain ↔ WLD ESXi</t>
  </si>
  <si>
    <t>Destination subnets auto-populated from ' IP Input Sheet'.  Next-hop populated once IPs are entered.</t>
  </si>
  <si>
    <t>Destination Network</t>
  </si>
  <si>
    <t>Subnet / IP</t>
  </si>
  <si>
    <t>Next Hop</t>
  </si>
  <si>
    <t>Via Interface</t>
  </si>
  <si>
    <t>Route Type</t>
  </si>
  <si>
    <t>AZ Scope</t>
  </si>
  <si>
    <t>RT-01</t>
  </si>
  <si>
    <t>Fleet Overlay Segment</t>
  </si>
  <si>
    <t>T0 Gateway (per AZ)</t>
  </si>
  <si>
    <t>NSX Overlay</t>
  </si>
  <si>
    <t>Static/NSX</t>
  </si>
  <si>
    <t>AZ1/2/3</t>
  </si>
  <si>
    <t>NSX overlay  depends on Edge/T0 health</t>
  </si>
  <si>
    <t>RT-02</t>
  </si>
  <si>
    <t>Fleet segment overlay routed</t>
  </si>
  <si>
    <t>RT-03</t>
  </si>
  <si>
    <t>VCF Operations</t>
  </si>
  <si>
    <t>Fleet segment</t>
  </si>
  <si>
    <t>RT-04</t>
  </si>
  <si>
    <t>RT-05</t>
  </si>
  <si>
    <t>VCF Ops for Logs (VOL)</t>
  </si>
  <si>
    <t>RT-06</t>
  </si>
  <si>
    <t>RT-07</t>
  </si>
  <si>
    <t>Identity Broker</t>
  </si>
  <si>
    <t>Fleet segment  SSO critical path</t>
  </si>
  <si>
    <t>RT-08</t>
  </si>
  <si>
    <t>VM Management (VLAN 2600)</t>
  </si>
  <si>
    <t>ToR Switch (per AZ)</t>
  </si>
  <si>
    <t>VLAN 2600</t>
  </si>
  <si>
    <t>VLAN/Static</t>
  </si>
  <si>
    <t>vCenter/NSX Mgr/SDDC Mgr</t>
  </si>
  <si>
    <t>VLAN-backed direct physical, no NSX dependency</t>
  </si>
  <si>
    <t>RT-09</t>
  </si>
  <si>
    <t>Static</t>
  </si>
  <si>
    <t>RT-10</t>
  </si>
  <si>
    <t>RT-11</t>
  </si>
  <si>
    <t>RT-12</t>
  </si>
  <si>
    <t>ESXi Mgmt — WLD</t>
  </si>
  <si>
    <t>vDSW01 VM Mgmt PG</t>
  </si>
  <si>
    <t>ESXi Hosts WLD</t>
  </si>
  <si>
    <t>WLD cluster hosts</t>
  </si>
  <si>
    <t>RT-13</t>
  </si>
  <si>
    <t>ESXi Mgmt — Mgmt Domain</t>
  </si>
  <si>
    <t>vDSM01 VM Mgmt PG</t>
  </si>
  <si>
    <t>ESXi Hosts Mgmt</t>
  </si>
  <si>
    <t>Mgmt domain cluster hosts</t>
  </si>
  <si>
    <t>RT-14</t>
  </si>
  <si>
    <t>NSX Edge / Uplink</t>
  </si>
  <si>
    <t>BGP Advertised</t>
  </si>
  <si>
    <t>Avi VIPs / WLD external</t>
  </si>
  <si>
    <t>VIP subnet BGP advertised via Edge to ToR</t>
  </si>
  <si>
    <t>RT-15</t>
  </si>
  <si>
    <t>Edge Node → ToR</t>
  </si>
  <si>
    <t>Uplink VLAN</t>
  </si>
  <si>
    <t>All components</t>
  </si>
  <si>
    <t>DC-wide</t>
  </si>
  <si>
    <t>Outbound via Edge N-S path</t>
  </si>
  <si>
    <t>RT-16</t>
  </si>
  <si>
    <t>RT-17</t>
  </si>
  <si>
    <t>Fleet+Mgmt components</t>
  </si>
  <si>
    <t>RT-18</t>
  </si>
  <si>
    <t>RT-19</t>
  </si>
  <si>
    <t>SDDC Mgr / VCF Ops</t>
  </si>
  <si>
    <t>RT-20</t>
  </si>
  <si>
    <t>Host TEP Subnet</t>
  </si>
  <si>
    <t>[VLAN TBD]</t>
  </si>
  <si>
    <t>Physical Fabric</t>
  </si>
  <si>
    <t>Host TEP VLAN</t>
  </si>
  <si>
    <t>VLAN</t>
  </si>
  <si>
    <t>NSX Host TEP</t>
  </si>
  <si>
    <t>Per AZ</t>
  </si>
  <si>
    <t>GENEVE encap  MTU must be 1600+</t>
  </si>
  <si>
    <t>RT-21</t>
  </si>
  <si>
    <t>Edge TEP Subnet</t>
  </si>
  <si>
    <t>VLAN 2603</t>
  </si>
  <si>
    <t>Edge TEP VLAN</t>
  </si>
  <si>
    <t>Edge nodes GENEVE tunnels</t>
  </si>
  <si>
    <t>RT-22</t>
  </si>
  <si>
    <t>Remote TEP Subnet</t>
  </si>
  <si>
    <t>VLAN 2605</t>
  </si>
  <si>
    <t>Super Spine</t>
  </si>
  <si>
    <t>RTEP VLAN</t>
  </si>
  <si>
    <t>Cross-AZ tunnels</t>
  </si>
  <si>
    <t>Cross-AZ NSX overlay RTEP</t>
  </si>
  <si>
    <t>RT-23</t>
  </si>
  <si>
    <t>[Physical]</t>
  </si>
  <si>
    <t>Physical Routing</t>
  </si>
  <si>
    <t>Uplink 2606/2607/2608/2609</t>
  </si>
  <si>
    <t>BGP</t>
  </si>
  <si>
    <t>All AZs</t>
  </si>
  <si>
    <t>BGP between Edge nodes and ToR switches</t>
  </si>
  <si>
    <t>VCF OPS Network Collector</t>
  </si>
  <si>
    <t>AZ1/AZ2</t>
  </si>
  <si>
    <t>M7 — Mgmt domain VLAN</t>
  </si>
  <si>
    <t>NSX Edge Uplink — Rack1 VLAN 2606</t>
  </si>
  <si>
    <t>ToR Rack1</t>
  </si>
  <si>
    <t>VLAN 2606 Uplink</t>
  </si>
  <si>
    <t>BGP Peer</t>
  </si>
  <si>
    <t>NSX Edge Node 1</t>
  </si>
  <si>
    <t>Edge→ToR BGP peering — same /30 subnet</t>
  </si>
  <si>
    <t>NSX Edge Uplink — Rack1 VLAN 2607</t>
  </si>
  <si>
    <t>VLAN 2607 Uplink</t>
  </si>
  <si>
    <t>NSX Edge Node 2</t>
  </si>
  <si>
    <t>NSX Edge Uplink — Rack2 VLAN 2608</t>
  </si>
  <si>
    <t>ToR Rack2</t>
  </si>
  <si>
    <t>VLAN 2608 Uplink</t>
  </si>
  <si>
    <t>Edge→ToR BGP peering</t>
  </si>
  <si>
    <t>NSX Edge Uplink — Rack2 VLAN 2609</t>
  </si>
  <si>
    <t>VLAN 2609 Uplink</t>
  </si>
  <si>
    <t>Edge TEP Subnet (VLAN 2603)</t>
  </si>
  <si>
    <t>Edge TEP VLAN 2603</t>
  </si>
  <si>
    <t>Intra-AZ HA + GENEVE — MTU 1600+</t>
  </si>
  <si>
    <t>Remote TEP — Cross-AZ (VLAN 2605)</t>
  </si>
  <si>
    <t>RTEP VLAN 2605</t>
  </si>
  <si>
    <t>Cross-AZ NSX Overlay</t>
  </si>
  <si>
    <t>AZ1↔AZ2↔AZ3 GENEVE tunnels</t>
  </si>
  <si>
    <t>ToR BGP Peer IPs</t>
  </si>
  <si>
    <t>Physical ToR Switch</t>
  </si>
  <si>
    <t>Uplink SVIs</t>
  </si>
  <si>
    <t>ToR Switch (Network Team)</t>
  </si>
  <si>
    <t>Get from network team — not Raju</t>
  </si>
  <si>
    <t>RT-E1-EU1</t>
  </si>
  <si>
    <t>Edge 1 EU1 (VLAN 2606 Rack 1)</t>
  </si>
  <si>
    <t>ToR Rack 1 (EU11)</t>
  </si>
  <si>
    <t>VLAN 2606 SVI</t>
  </si>
  <si>
    <t>NSX Edge 1</t>
  </si>
  <si>
    <t>EU1↔EU11</t>
  </si>
  <si>
    <t>RT-E1-EU2</t>
  </si>
  <si>
    <t>Edge 1 EU2 (VLAN 2607 Rack 1)</t>
  </si>
  <si>
    <t>ToR Rack 1 (EU12)</t>
  </si>
  <si>
    <t>VLAN 2607 SVI</t>
  </si>
  <si>
    <t>EU2↔EU12</t>
  </si>
  <si>
    <t>RT-E2-EU3</t>
  </si>
  <si>
    <t>Edge 2 EU3 (VLAN 2606 Rack 1)</t>
  </si>
  <si>
    <t>NSX Edge 2</t>
  </si>
  <si>
    <t>EU3↔EU11</t>
  </si>
  <si>
    <t>RT-E2-EU4</t>
  </si>
  <si>
    <t>Edge 2 EU4 (VLAN 2607 Rack 1)</t>
  </si>
  <si>
    <t>EU4↔EU12</t>
  </si>
  <si>
    <t>RT-E3-EU5</t>
  </si>
  <si>
    <t>Edge 3 EU5 (VLAN 2608 Rack 2)</t>
  </si>
  <si>
    <t>ToR Rack 2 (EU13)</t>
  </si>
  <si>
    <t>VLAN 2608 SVI</t>
  </si>
  <si>
    <t>NSX Edge 3</t>
  </si>
  <si>
    <t>EU5↔EU13</t>
  </si>
  <si>
    <t>RT-E3-EU6</t>
  </si>
  <si>
    <t>Edge 3 EU6 (VLAN 2609 Rack 2)</t>
  </si>
  <si>
    <t>ToR Rack 2 (EU14)</t>
  </si>
  <si>
    <t>VLAN 2609 SVI</t>
  </si>
  <si>
    <t>EU6↔EU14</t>
  </si>
  <si>
    <t>RT-E4-EU7</t>
  </si>
  <si>
    <t>Edge 4 EU7 (VLAN 2608 Rack 2)</t>
  </si>
  <si>
    <t>NSX Edge 4</t>
  </si>
  <si>
    <t>EU7↔EU13</t>
  </si>
  <si>
    <t>RT-E4-EU8</t>
  </si>
  <si>
    <t>Edge 4 EU8 (VLAN 2609 Rack 2)</t>
  </si>
  <si>
    <t>EU8↔EU14</t>
  </si>
  <si>
    <t>RT-TEP</t>
  </si>
  <si>
    <t>EU9 — GENEVE intra-AZ MTU 1600+</t>
  </si>
  <si>
    <t>RT-RTEP</t>
  </si>
  <si>
    <t>Remote TEP Subnet (VLAN 2605)</t>
  </si>
  <si>
    <t>Cross-AZ Overlay</t>
  </si>
  <si>
    <t>EU10 — AZ1↔AZ2↔AZ3</t>
  </si>
  <si>
    <t>AES-220  |  Unique Port Reference  |  All Fleet Firewall Ports Consolidated</t>
  </si>
  <si>
    <t>Service</t>
  </si>
  <si>
    <t>Used By (Source)</t>
  </si>
  <si>
    <t>Used By (Destination)</t>
  </si>
  <si>
    <t>VCF Installer, SDDC Mgr, Fleet Mgr, VCFA, VCFO</t>
  </si>
  <si>
    <t>ESXi, SDDC Mgr, Fleet VMs, SFTP</t>
  </si>
  <si>
    <t>Admin only restrict to jump host / bastion</t>
  </si>
  <si>
    <t>50</t>
  </si>
  <si>
    <t>ESP</t>
  </si>
  <si>
    <t>Encapsulating Security Payload</t>
  </si>
  <si>
    <t>ALL</t>
  </si>
  <si>
    <t>Used by k8s to encapsulate hidden networks — bidirectional</t>
  </si>
  <si>
    <t>All Fleet + VCF Components</t>
  </si>
  <si>
    <t>DNS Servers</t>
  </si>
  <si>
    <t>Bidirectional  ALL Fleet-level and VCF instance-level</t>
  </si>
  <si>
    <t>NTP</t>
  </si>
  <si>
    <t>NTP Servers</t>
  </si>
  <si>
    <t>Time sync  ALL VCF 9 components</t>
  </si>
  <si>
    <t>SNMP</t>
  </si>
  <si>
    <t>Switches/Routers</t>
  </si>
  <si>
    <t>SNMP polling physical devices</t>
  </si>
  <si>
    <t>LDAP</t>
  </si>
  <si>
    <t>VCF Ops, Identity Broker, vCenter</t>
  </si>
  <si>
    <t>AD/LDAP Servers</t>
  </si>
  <si>
    <t>Directory lookups Active Directory integration</t>
  </si>
  <si>
    <t>HTTPS</t>
  </si>
  <si>
    <t>All Fleet + Mgmt Components</t>
  </si>
  <si>
    <t>Primary management port — all component comms incl. VLR SSO registration + site pair</t>
  </si>
  <si>
    <t>Syslog</t>
  </si>
  <si>
    <t>vCenter, NSX, SDDC, ESXi, VCFA</t>
  </si>
  <si>
    <t>Remote syslog  all components log to VOL</t>
  </si>
  <si>
    <t>LDAPS</t>
  </si>
  <si>
    <t>vCenter, VCF Automation, VMware Live Recovery (VLR)</t>
  </si>
  <si>
    <t>ESXi Hosts</t>
  </si>
  <si>
    <t>Core mgmt comms vCenter↔ESXi + VM console + VLR VMkernel heartbeat</t>
  </si>
  <si>
    <t>vCenter, NSX, ESXi, VCFA</t>
  </si>
  <si>
    <t>IPFIX (deprecated)</t>
  </si>
  <si>
    <t>vCenter, VON</t>
  </si>
  <si>
    <t>vDS/NSX</t>
  </si>
  <si>
    <t>Deprecated use port 4739 instead</t>
  </si>
  <si>
    <t>AD Global Catalog lookup</t>
  </si>
  <si>
    <t>IPFIX + NETFLOW</t>
  </si>
  <si>
    <t>ESXi, VON</t>
  </si>
  <si>
    <t>VON, NSX</t>
  </si>
  <si>
    <t>Flow analysis replace 2055</t>
  </si>
  <si>
    <t>Kubernetes API</t>
  </si>
  <si>
    <t>Fleet Mgr, VCF Automation</t>
  </si>
  <si>
    <t>Identity Broker, VCFA</t>
  </si>
  <si>
    <t>Kubernetes control plane API server</t>
  </si>
  <si>
    <t>Syslog over SSL</t>
  </si>
  <si>
    <t>NSX Manager, VCFA</t>
  </si>
  <si>
    <t>VCF Ops for Logs</t>
  </si>
  <si>
    <t>Syslog SSL</t>
  </si>
  <si>
    <t>Health Check</t>
  </si>
  <si>
    <t>VCFA health monitoring</t>
  </si>
  <si>
    <t>VCF Installer, SDDC Mgr</t>
  </si>
  <si>
    <t>SDDC Manager, VCFO</t>
  </si>
  <si>
    <t>Internal service comms bringup</t>
  </si>
  <si>
    <t>Log Ingestion API</t>
  </si>
  <si>
    <t>SDDC Mgr, VCFA</t>
  </si>
  <si>
    <t>CFAPI — unencrypted; prefer 9543</t>
  </si>
  <si>
    <t>9443</t>
  </si>
  <si>
    <t>Lifecycle Mgmt</t>
  </si>
  <si>
    <t>VCF Installer</t>
  </si>
  <si>
    <t>vSphere webclient + LCM bringup</t>
  </si>
  <si>
    <t>Secure Log Ingestion</t>
  </si>
  <si>
    <t>CFAPI over SSL — preferred over 9000</t>
  </si>
  <si>
    <t>vCenter Inventory</t>
  </si>
  <si>
    <t>Inventory service</t>
  </si>
  <si>
    <t>Container Images</t>
  </si>
  <si>
    <t>Fleet Mgr</t>
  </si>
  <si>
    <t>VCFA + VIDB</t>
  </si>
  <si>
    <t>k8s/VKS OCI registry</t>
  </si>
  <si>
    <t>VCFA/VIDB API</t>
  </si>
  <si>
    <t>Webhooks  day2 ops triggers</t>
  </si>
  <si>
    <t>Health Validation</t>
  </si>
  <si>
    <t>Pre-LCM health check</t>
  </si>
  <si>
    <t>Ping/Traceroute</t>
  </si>
  <si>
    <t>ALL Fleet + Mgmt Components</t>
  </si>
  <si>
    <t>MANDATORY  ALL fleet-level &amp; VCF instance-level components</t>
  </si>
  <si>
    <t>NSX Edge Nodes</t>
  </si>
  <si>
    <t>ToR Switches (BGP Peers)</t>
  </si>
  <si>
    <t>Edge→ToR BGP peering — must be allowed at Gateway FW</t>
  </si>
  <si>
    <t>3784/3785</t>
  </si>
  <si>
    <t>BFD</t>
  </si>
  <si>
    <t>ToR Switches</t>
  </si>
  <si>
    <t>Bidirectional Forwarding Detection — fast BGP failover</t>
  </si>
  <si>
    <t>4789</t>
  </si>
  <si>
    <t>GENEVE/VXLAN TEP</t>
  </si>
  <si>
    <t>Overlay encapsulation — MTU 1600+ required</t>
  </si>
  <si>
    <t>GENEVE Overlay</t>
  </si>
  <si>
    <t>Edge TEP (EU9) / Remote TEP (EU10)</t>
  </si>
  <si>
    <t>Host TEP / Peer Edge TEP</t>
  </si>
  <si>
    <t>NSX overlay encapsulation — MTU 1600+ required</t>
  </si>
  <si>
    <t>443 (Federation)</t>
  </si>
  <si>
    <t>NSX Federation API Sync</t>
  </si>
  <si>
    <t>Federation-specific 443 — in addition to existing component 443 rules. GM↔LM management plane sync.</t>
  </si>
  <si>
    <t>BFD — Multi-hop BFD (RFC 5883)</t>
  </si>
  <si>
    <t>NSX Edge Nodes (inter-site)</t>
  </si>
  <si>
    <t>Remote NSX Edge Nodes / Service Routers</t>
  </si>
  <si>
    <t xml:space="preserve"> per network team requirements. BFD multi-hop for cross-AZ SR link detection. Required alongside UDP 3784/3785. All three BFD ports must be open.</t>
  </si>
  <si>
    <t>VAMI — Virtual Appliance Management Interface</t>
  </si>
  <si>
    <t>Fleet Mgr, VCFA, SDDC Mgr, ESXi, vCenter</t>
  </si>
  <si>
    <t>ALL VCF Appliances (vCenter, NSX Mgr, SDDC Mgr, VOL, VCFA, Fleet Mgr, vlsr1)</t>
  </si>
  <si>
    <t xml:space="preserve">  per network team. VAMI is the mgmt interface for all VCF virtual appliances. vlsr1 VAMI IP: 192.168.188.1. Bidirectional.</t>
  </si>
  <si>
    <t>SRM — Site Recovery Manager Listener</t>
  </si>
  <si>
    <t>vSphere Replication (M8), PSC/vCenter, Remote Site</t>
  </si>
  <si>
    <t>SRM Listener — sfoMGMT-1-1-VC1.test.net (local host 192.168.188.1)</t>
  </si>
  <si>
    <t xml:space="preserve">  per network team. SRM listener for cross-site replication and PSC SSO registration. Bidirectional. Verify with network team before whitelist per network team's comment.</t>
  </si>
  <si>
    <t>NSX Federation Async Replication (AR)</t>
  </si>
  <si>
    <t>NSX Local Manager (M2) — all AZs</t>
  </si>
  <si>
    <t xml:space="preserve">  per NSX team  Core Federation sync — GM pushes Global config to LMs. Was completely missing. Whitelist immediately.</t>
  </si>
  <si>
    <t>179 (Inter-SR)</t>
  </si>
  <si>
    <t>Inter-SR BGP (NSX Federation cross-AZ)</t>
  </si>
  <si>
    <t>NSX Edge Node Service Router (local AZ)</t>
  </si>
  <si>
    <t>NSX Remote Edge SR (peer AZ)</t>
  </si>
  <si>
    <t>Inter-site BGP between T0 Service Routers. Distinct from Edge→ToR BGP (BGP-01 to BGP-08).</t>
  </si>
  <si>
    <t>CF row 165-175 — vSphere Replication VMkernel NFC traffic. Required for LVR Site Protection &amp; DR.</t>
  </si>
  <si>
    <t>vSphere Replication NFC — Changed Blocks</t>
  </si>
  <si>
    <t>CF row 165-175 — Changed data block replication. Bidirectional between VLR and ESXi VMkernel.</t>
  </si>
  <si>
    <t>vSphere Replication NFC — Alternate</t>
  </si>
  <si>
    <t>CF row 165-175 — Alternate NFC port for vSphere Replication. Bidirectional.</t>
  </si>
  <si>
    <t>vSphere Replication SOAP mgmt</t>
  </si>
  <si>
    <t>KB 312798 — mgmt traffic to additional VR servers intra-site</t>
  </si>
  <si>
    <t>Enhanced Replication encrypted traffic</t>
  </si>
  <si>
    <t>ESXi Hosts (primary site)</t>
  </si>
  <si>
    <t>VMware Live Recovery (VLR) / vSphere Replication server</t>
  </si>
  <si>
    <t>KB 312798 — encrypted replication when VM network encryption enabled</t>
  </si>
  <si>
    <t>SSO / STS Token Service (VLR)</t>
  </si>
  <si>
    <t>vCenter Server SSO/STS endpoint</t>
  </si>
  <si>
    <t>KB 312798 — required for VLR SSO authentication to vCenter</t>
  </si>
  <si>
    <t>80</t>
  </si>
  <si>
    <t>HTTP redirect — VLR to vCenter proxy</t>
  </si>
  <si>
    <t>vCenter Server proxy / ESXi host</t>
  </si>
  <si>
    <t>KB 312798 — VR 8.7 and below; VR 8.8+ no longer uses port 80</t>
  </si>
  <si>
    <t>vCenter SOAP to VLR appliance</t>
  </si>
  <si>
    <t>VMware Live Recovery (VLR) appliance (intra-site)</t>
  </si>
  <si>
    <t>KB 312798 — vCenter to VLR SOAP management (intra-site only)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</si>
</sst>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3.0"/>
      <color rgb="FFFFFFFF"/>
      <name val="Arial"/>
    </font>
    <font>
      <sz val="11.0"/>
      <color theme="1"/>
      <name val="Calibri"/>
    </font>
    <font>
      <i/>
      <sz val="9.0"/>
      <color rgb="FF7F0000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000000"/>
      <name val="Arial"/>
    </font>
    <font>
      <sz val="9.0"/>
      <color rgb="FF7F6000"/>
      <name val="Arial"/>
    </font>
    <font>
      <sz val="9.0"/>
      <color theme="1"/>
      <name val="Arial"/>
    </font>
    <font>
      <i/>
      <sz val="9.0"/>
      <color rgb="FF7F7F7F"/>
      <name val="Arial"/>
    </font>
    <font>
      <b/>
      <sz val="12.0"/>
      <color rgb="FFFFFFFF"/>
      <name val="Arial"/>
    </font>
    <font>
      <b/>
      <sz val="9.0"/>
      <color rgb="FF375623"/>
      <name val="Arial"/>
    </font>
    <font>
      <b/>
      <sz val="9.0"/>
      <color rgb="FF0B5E34"/>
      <name val="Arial"/>
    </font>
    <font>
      <b/>
      <sz val="9.0"/>
      <color rgb="FF7030A0"/>
      <name val="Arial"/>
    </font>
    <font>
      <b/>
      <sz val="9.0"/>
      <color rgb="FFC55A11"/>
      <name val="Arial"/>
    </font>
    <font>
      <b/>
      <sz val="9.0"/>
      <color rgb="FF1F3864"/>
      <name val="Arial"/>
    </font>
    <font>
      <b/>
      <sz val="9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99"/>
        <bgColor rgb="FFFFFF99"/>
      </patternFill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3E5F5"/>
        <bgColor rgb="FFF3E5F5"/>
      </patternFill>
    </fill>
    <fill>
      <patternFill patternType="solid">
        <fgColor rgb="FFFCE4D6"/>
        <bgColor rgb="FFFCE4D6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Font="1"/>
    <xf borderId="0" fillId="3" fontId="3" numFmtId="0" xfId="0" applyAlignment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0" fillId="4" fontId="5" numFmtId="0" xfId="0" applyAlignment="1" applyFont="1">
      <alignment horizontal="left" shrinkToFit="0" vertical="center" wrapText="1"/>
    </xf>
    <xf borderId="1" fillId="5" fontId="6" numFmtId="0" xfId="0" applyAlignment="1" applyBorder="1" applyFill="1" applyFont="1">
      <alignment horizontal="left" shrinkToFit="0" vertical="center" wrapText="1"/>
    </xf>
    <xf borderId="1" fillId="6" fontId="7" numFmtId="0" xfId="0" applyAlignment="1" applyBorder="1" applyFill="1" applyFont="1">
      <alignment horizontal="left" shrinkToFit="0" vertical="center" wrapText="1"/>
    </xf>
    <xf borderId="1" fillId="5" fontId="8" numFmtId="0" xfId="0" applyAlignment="1" applyBorder="1" applyFont="1">
      <alignment horizontal="left" shrinkToFit="0" vertical="center" wrapText="1"/>
    </xf>
    <xf borderId="0" fillId="7" fontId="5" numFmtId="0" xfId="0" applyAlignment="1" applyFill="1" applyFont="1">
      <alignment horizontal="left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9" fontId="8" numFmtId="0" xfId="0" applyAlignment="1" applyFill="1" applyFont="1">
      <alignment horizontal="left" shrinkToFit="0" vertical="center" wrapText="1"/>
    </xf>
    <xf borderId="0" fillId="9" fontId="8" numFmtId="0" xfId="0" applyAlignment="1" applyFont="1">
      <alignment vertical="bottom"/>
    </xf>
    <xf borderId="0" fillId="9" fontId="8" numFmtId="0" xfId="0" applyAlignment="1" applyFont="1">
      <alignment horizontal="center" shrinkToFit="0" vertical="center" wrapText="1"/>
    </xf>
    <xf borderId="0" fillId="9" fontId="6" numFmtId="0" xfId="0" applyAlignment="1" applyFont="1">
      <alignment horizontal="left" shrinkToFit="0" vertical="center" wrapText="1"/>
    </xf>
    <xf borderId="0" fillId="9" fontId="2" numFmtId="0" xfId="0" applyAlignment="1" applyFont="1">
      <alignment vertical="bottom"/>
    </xf>
    <xf borderId="2" fillId="10" fontId="2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2" fillId="11" fontId="2" numFmtId="0" xfId="0" applyAlignment="1" applyBorder="1" applyFill="1" applyFont="1">
      <alignment vertical="bottom"/>
    </xf>
    <xf borderId="0" fillId="2" fontId="10" numFmtId="0" xfId="0" applyAlignment="1" applyFont="1">
      <alignment horizontal="center" shrinkToFit="0" vertical="center" wrapText="1"/>
    </xf>
    <xf borderId="1" fillId="8" fontId="6" numFmtId="0" xfId="0" applyAlignment="1" applyBorder="1" applyFont="1">
      <alignment horizontal="left" shrinkToFit="0" vertical="center" wrapText="1"/>
    </xf>
    <xf borderId="1" fillId="12" fontId="11" numFmtId="0" xfId="0" applyAlignment="1" applyBorder="1" applyFill="1" applyFont="1">
      <alignment horizontal="left" shrinkToFit="0" vertical="center" wrapText="1"/>
    </xf>
    <xf borderId="1" fillId="13" fontId="6" numFmtId="0" xfId="0" applyAlignment="1" applyBorder="1" applyFill="1" applyFont="1">
      <alignment horizontal="left" shrinkToFit="0" vertical="center" wrapText="1"/>
    </xf>
    <xf borderId="1" fillId="9" fontId="6" numFmtId="0" xfId="0" applyAlignment="1" applyBorder="1" applyFont="1">
      <alignment horizontal="left" shrinkToFit="0" vertical="center" wrapText="1"/>
    </xf>
    <xf borderId="1" fillId="9" fontId="6" numFmtId="0" xfId="0" applyAlignment="1" applyBorder="1" applyFont="1">
      <alignment horizontal="left" readingOrder="0" shrinkToFit="0" vertical="center" wrapText="1"/>
    </xf>
    <xf borderId="1" fillId="8" fontId="8" numFmtId="0" xfId="0" applyAlignment="1" applyBorder="1" applyFont="1">
      <alignment horizontal="left" shrinkToFit="0" vertical="center" wrapText="1"/>
    </xf>
    <xf borderId="1" fillId="13" fontId="8" numFmtId="0" xfId="0" applyAlignment="1" applyBorder="1" applyFont="1">
      <alignment horizontal="left" shrinkToFit="0" vertical="center" wrapText="1"/>
    </xf>
    <xf borderId="1" fillId="9" fontId="8" numFmtId="0" xfId="0" applyAlignment="1" applyBorder="1" applyFont="1">
      <alignment horizontal="left" shrinkToFit="0" vertical="center" wrapText="1"/>
    </xf>
    <xf borderId="1" fillId="12" fontId="8" numFmtId="0" xfId="0" applyAlignment="1" applyBorder="1" applyFont="1">
      <alignment horizontal="left" shrinkToFit="0" vertical="center" wrapText="1"/>
    </xf>
    <xf borderId="0" fillId="12" fontId="12" numFmtId="0" xfId="0" applyAlignment="1" applyFont="1">
      <alignment horizontal="center" vertical="center"/>
    </xf>
    <xf borderId="1" fillId="14" fontId="13" numFmtId="0" xfId="0" applyAlignment="1" applyBorder="1" applyFill="1" applyFont="1">
      <alignment horizontal="left" shrinkToFit="0" vertical="center" wrapText="1"/>
    </xf>
    <xf borderId="1" fillId="14" fontId="8" numFmtId="0" xfId="0" applyAlignment="1" applyBorder="1" applyFont="1">
      <alignment horizontal="left" shrinkToFit="0" vertical="center" wrapText="1"/>
    </xf>
    <xf borderId="1" fillId="12" fontId="13" numFmtId="0" xfId="0" applyAlignment="1" applyBorder="1" applyFont="1">
      <alignment horizontal="left" shrinkToFit="0" vertical="center" wrapText="1"/>
    </xf>
    <xf borderId="1" fillId="15" fontId="14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readingOrder="0" vertical="bottom"/>
    </xf>
    <xf borderId="1" fillId="12" fontId="6" numFmtId="0" xfId="0" applyAlignment="1" applyBorder="1" applyFont="1">
      <alignment horizontal="left" shrinkToFit="0" vertical="center" wrapText="1"/>
    </xf>
    <xf borderId="1" fillId="12" fontId="6" numFmtId="0" xfId="0" applyAlignment="1" applyBorder="1" applyFont="1">
      <alignment horizontal="left" readingOrder="0" shrinkToFit="0" vertical="center" wrapText="1"/>
    </xf>
    <xf borderId="1" fillId="15" fontId="14" numFmtId="0" xfId="0" applyAlignment="1" applyBorder="1" applyFont="1">
      <alignment horizontal="left" readingOrder="0" shrinkToFit="0" vertical="center" wrapText="1"/>
    </xf>
    <xf borderId="1" fillId="15" fontId="6" numFmtId="0" xfId="0" applyAlignment="1" applyBorder="1" applyFont="1">
      <alignment horizontal="left" shrinkToFit="0" vertical="center" wrapText="1"/>
    </xf>
    <xf borderId="1" fillId="15" fontId="8" numFmtId="0" xfId="0" applyAlignment="1" applyBorder="1" applyFont="1">
      <alignment horizontal="left" shrinkToFit="0" vertical="center" wrapText="1"/>
    </xf>
    <xf borderId="1" fillId="9" fontId="15" numFmtId="0" xfId="0" applyAlignment="1" applyBorder="1" applyFont="1">
      <alignment horizontal="left" shrinkToFit="0" vertical="center" wrapText="1"/>
    </xf>
    <xf borderId="1" fillId="8" fontId="15" numFmtId="0" xfId="0" applyAlignment="1" applyBorder="1" applyFont="1">
      <alignment horizontal="left" shrinkToFit="0" vertical="center" wrapText="1"/>
    </xf>
    <xf borderId="1" fillId="9" fontId="13" numFmtId="0" xfId="0" applyAlignment="1" applyBorder="1" applyFont="1">
      <alignment horizontal="left" shrinkToFit="0" vertical="center" wrapText="1"/>
    </xf>
    <xf borderId="1" fillId="15" fontId="6" numFmtId="0" xfId="0" applyAlignment="1" applyBorder="1" applyFont="1">
      <alignment horizontal="left" readingOrder="0" shrinkToFit="0" vertical="center" wrapText="1"/>
    </xf>
    <xf borderId="1" fillId="9" fontId="16" numFmtId="0" xfId="0" applyAlignment="1" applyBorder="1" applyFont="1">
      <alignment horizontal="left" shrinkToFit="0" vertical="center" wrapText="1"/>
    </xf>
    <xf borderId="3" fillId="12" fontId="12" numFmtId="0" xfId="0" applyAlignment="1" applyBorder="1" applyFont="1">
      <alignment horizontal="center" shrinkToFit="0" vertical="center" wrapText="1"/>
    </xf>
    <xf borderId="3" fillId="12" fontId="6" numFmtId="0" xfId="0" applyAlignment="1" applyBorder="1" applyFont="1">
      <alignment horizontal="center" shrinkToFit="0" vertical="center" wrapText="1"/>
    </xf>
    <xf borderId="3" fillId="12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45.0"/>
    <col customWidth="1" min="3" max="6" width="22.0"/>
  </cols>
  <sheetData>
    <row r="1" ht="31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5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6" t="s">
        <v>9</v>
      </c>
      <c r="B5" s="6" t="s">
        <v>10</v>
      </c>
      <c r="C5" s="6" t="s">
        <v>11</v>
      </c>
      <c r="D5" s="7" t="s">
        <v>12</v>
      </c>
      <c r="E5" s="7" t="s">
        <v>12</v>
      </c>
      <c r="F5" s="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6" t="s">
        <v>13</v>
      </c>
      <c r="B6" s="6" t="s">
        <v>14</v>
      </c>
      <c r="C6" s="6" t="s">
        <v>15</v>
      </c>
      <c r="D6" s="7" t="s">
        <v>16</v>
      </c>
      <c r="E6" s="7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6" t="s">
        <v>17</v>
      </c>
      <c r="B7" s="6" t="s">
        <v>18</v>
      </c>
      <c r="C7" s="6" t="s">
        <v>19</v>
      </c>
      <c r="D7" s="7" t="s">
        <v>16</v>
      </c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6" t="s">
        <v>20</v>
      </c>
      <c r="B8" s="6" t="s">
        <v>21</v>
      </c>
      <c r="C8" s="6" t="s">
        <v>22</v>
      </c>
      <c r="D8" s="7" t="s">
        <v>16</v>
      </c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6" t="s">
        <v>23</v>
      </c>
      <c r="B9" s="6" t="s">
        <v>24</v>
      </c>
      <c r="C9" s="6" t="s">
        <v>25</v>
      </c>
      <c r="D9" s="7" t="s">
        <v>16</v>
      </c>
      <c r="E9" s="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6" t="s">
        <v>26</v>
      </c>
      <c r="B10" s="6" t="s">
        <v>27</v>
      </c>
      <c r="C10" s="6" t="s">
        <v>28</v>
      </c>
      <c r="D10" s="7" t="s">
        <v>29</v>
      </c>
      <c r="E10" s="7" t="s">
        <v>30</v>
      </c>
      <c r="F10" s="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6" t="s">
        <v>31</v>
      </c>
      <c r="B11" s="6" t="s">
        <v>32</v>
      </c>
      <c r="C11" s="6" t="s">
        <v>33</v>
      </c>
      <c r="D11" s="7" t="s">
        <v>16</v>
      </c>
      <c r="E11" s="7" t="s">
        <v>16</v>
      </c>
      <c r="F11" s="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5" t="s">
        <v>34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6" t="s">
        <v>35</v>
      </c>
      <c r="B13" s="6" t="s">
        <v>36</v>
      </c>
      <c r="C13" s="6" t="s">
        <v>37</v>
      </c>
      <c r="D13" s="7" t="s">
        <v>38</v>
      </c>
      <c r="E13" s="7" t="s">
        <v>39</v>
      </c>
      <c r="F13" s="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6" t="s">
        <v>40</v>
      </c>
      <c r="B14" s="6" t="s">
        <v>41</v>
      </c>
      <c r="C14" s="6" t="s">
        <v>42</v>
      </c>
      <c r="D14" s="7" t="s">
        <v>29</v>
      </c>
      <c r="E14" s="7" t="s">
        <v>30</v>
      </c>
      <c r="F14" s="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6" t="s">
        <v>43</v>
      </c>
      <c r="B15" s="6" t="s">
        <v>44</v>
      </c>
      <c r="C15" s="6" t="s">
        <v>45</v>
      </c>
      <c r="D15" s="7" t="s">
        <v>29</v>
      </c>
      <c r="E15" s="7" t="s">
        <v>30</v>
      </c>
      <c r="F15" s="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6" t="s">
        <v>46</v>
      </c>
      <c r="B16" s="6" t="s">
        <v>47</v>
      </c>
      <c r="C16" s="6" t="s">
        <v>48</v>
      </c>
      <c r="D16" s="7" t="s">
        <v>49</v>
      </c>
      <c r="E16" s="7" t="s">
        <v>50</v>
      </c>
      <c r="F16" s="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6" t="s">
        <v>51</v>
      </c>
      <c r="B17" s="6" t="s">
        <v>52</v>
      </c>
      <c r="C17" s="6" t="s">
        <v>53</v>
      </c>
      <c r="D17" s="7" t="s">
        <v>54</v>
      </c>
      <c r="E17" s="7" t="s">
        <v>55</v>
      </c>
      <c r="F17" s="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6" t="s">
        <v>56</v>
      </c>
      <c r="B18" s="6" t="s">
        <v>57</v>
      </c>
      <c r="C18" s="6" t="s">
        <v>58</v>
      </c>
      <c r="D18" s="7" t="s">
        <v>29</v>
      </c>
      <c r="E18" s="7" t="s">
        <v>30</v>
      </c>
      <c r="F18" s="7" t="s">
        <v>59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6" t="s">
        <v>60</v>
      </c>
      <c r="B19" s="6" t="s">
        <v>61</v>
      </c>
      <c r="C19" s="6" t="s">
        <v>62</v>
      </c>
      <c r="D19" s="7" t="s">
        <v>63</v>
      </c>
      <c r="E19" s="7"/>
      <c r="F19" s="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8" t="s">
        <v>64</v>
      </c>
      <c r="B20" s="8" t="s">
        <v>65</v>
      </c>
      <c r="C20" s="8" t="s">
        <v>66</v>
      </c>
      <c r="D20" s="7" t="s">
        <v>67</v>
      </c>
      <c r="E20" s="7"/>
      <c r="F20" s="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9" t="s">
        <v>68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8" t="s">
        <v>69</v>
      </c>
      <c r="B22" s="8" t="s">
        <v>70</v>
      </c>
      <c r="C22" s="8" t="s">
        <v>71</v>
      </c>
      <c r="D22" s="7" t="s">
        <v>72</v>
      </c>
      <c r="E22" s="7" t="s">
        <v>73</v>
      </c>
      <c r="F22" s="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8" t="s">
        <v>74</v>
      </c>
      <c r="B23" s="8" t="s">
        <v>75</v>
      </c>
      <c r="C23" s="8" t="s">
        <v>76</v>
      </c>
      <c r="D23" s="7" t="s">
        <v>77</v>
      </c>
      <c r="E23" s="7" t="s">
        <v>78</v>
      </c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8" t="s">
        <v>79</v>
      </c>
      <c r="B24" s="8" t="s">
        <v>80</v>
      </c>
      <c r="C24" s="8" t="s">
        <v>81</v>
      </c>
      <c r="D24" s="7" t="s">
        <v>82</v>
      </c>
      <c r="E24" s="7" t="s">
        <v>83</v>
      </c>
      <c r="F24" s="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8" t="s">
        <v>84</v>
      </c>
      <c r="B25" s="8" t="s">
        <v>85</v>
      </c>
      <c r="C25" s="8" t="s">
        <v>86</v>
      </c>
      <c r="D25" s="7" t="s">
        <v>87</v>
      </c>
      <c r="E25" s="7" t="s">
        <v>88</v>
      </c>
      <c r="F25" s="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8" t="s">
        <v>89</v>
      </c>
      <c r="B26" s="8" t="s">
        <v>90</v>
      </c>
      <c r="C26" s="8" t="s">
        <v>91</v>
      </c>
      <c r="D26" s="7" t="s">
        <v>92</v>
      </c>
      <c r="E26" s="7" t="s">
        <v>93</v>
      </c>
      <c r="F26" s="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8" t="s">
        <v>94</v>
      </c>
      <c r="B27" s="8" t="s">
        <v>95</v>
      </c>
      <c r="C27" s="8" t="s">
        <v>96</v>
      </c>
      <c r="D27" s="7" t="s">
        <v>97</v>
      </c>
      <c r="E27" s="7" t="s">
        <v>98</v>
      </c>
      <c r="F27" s="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8" t="s">
        <v>99</v>
      </c>
      <c r="B28" s="8" t="s">
        <v>100</v>
      </c>
      <c r="C28" s="8" t="s">
        <v>101</v>
      </c>
      <c r="D28" s="7" t="s">
        <v>102</v>
      </c>
      <c r="E28" s="7" t="s">
        <v>103</v>
      </c>
      <c r="F28" s="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8" t="s">
        <v>104</v>
      </c>
      <c r="B29" s="8" t="s">
        <v>105</v>
      </c>
      <c r="C29" s="8" t="s">
        <v>106</v>
      </c>
      <c r="D29" s="7" t="s">
        <v>107</v>
      </c>
      <c r="E29" s="7" t="s">
        <v>108</v>
      </c>
      <c r="F29" s="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8" t="s">
        <v>109</v>
      </c>
      <c r="B30" s="8" t="s">
        <v>110</v>
      </c>
      <c r="C30" s="8" t="s">
        <v>111</v>
      </c>
      <c r="D30" s="7" t="s">
        <v>112</v>
      </c>
      <c r="E30" s="7" t="s">
        <v>113</v>
      </c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8" t="s">
        <v>114</v>
      </c>
      <c r="B31" s="8" t="s">
        <v>115</v>
      </c>
      <c r="C31" s="8" t="s">
        <v>116</v>
      </c>
      <c r="D31" s="7" t="s">
        <v>117</v>
      </c>
      <c r="E31" s="7" t="s">
        <v>118</v>
      </c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8" t="s">
        <v>119</v>
      </c>
      <c r="B32" s="8" t="s">
        <v>120</v>
      </c>
      <c r="C32" s="8" t="s">
        <v>121</v>
      </c>
      <c r="D32" s="7" t="s">
        <v>122</v>
      </c>
      <c r="E32" s="7" t="s">
        <v>123</v>
      </c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8" t="s">
        <v>124</v>
      </c>
      <c r="B33" s="8" t="s">
        <v>125</v>
      </c>
      <c r="C33" s="8" t="s">
        <v>126</v>
      </c>
      <c r="D33" s="7" t="s">
        <v>127</v>
      </c>
      <c r="E33" s="7" t="s">
        <v>78</v>
      </c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8" t="s">
        <v>128</v>
      </c>
      <c r="B34" s="8" t="s">
        <v>129</v>
      </c>
      <c r="C34" s="8" t="s">
        <v>130</v>
      </c>
      <c r="D34" s="7" t="s">
        <v>131</v>
      </c>
      <c r="E34" s="7" t="s">
        <v>132</v>
      </c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8" t="s">
        <v>133</v>
      </c>
      <c r="B35" s="8" t="s">
        <v>134</v>
      </c>
      <c r="C35" s="8" t="s">
        <v>135</v>
      </c>
      <c r="D35" s="7"/>
      <c r="E35" s="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9" t="s">
        <v>136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8" t="s">
        <v>137</v>
      </c>
      <c r="B37" s="8" t="s">
        <v>138</v>
      </c>
      <c r="C37" s="8" t="s">
        <v>139</v>
      </c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8" t="s">
        <v>140</v>
      </c>
      <c r="B38" s="8" t="s">
        <v>141</v>
      </c>
      <c r="C38" s="8" t="s">
        <v>142</v>
      </c>
      <c r="D38" s="7"/>
      <c r="E38" s="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8" t="s">
        <v>143</v>
      </c>
      <c r="B39" s="8" t="s">
        <v>144</v>
      </c>
      <c r="C39" s="8" t="s">
        <v>145</v>
      </c>
      <c r="D39" s="7"/>
      <c r="E39" s="7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8" t="s">
        <v>146</v>
      </c>
      <c r="B40" s="8" t="s">
        <v>147</v>
      </c>
      <c r="C40" s="8" t="s">
        <v>148</v>
      </c>
      <c r="D40" s="7"/>
      <c r="E40" s="7"/>
      <c r="F40" s="7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8" t="s">
        <v>149</v>
      </c>
      <c r="B41" s="8" t="s">
        <v>150</v>
      </c>
      <c r="C41" s="8" t="s">
        <v>151</v>
      </c>
      <c r="D41" s="7"/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8" t="s">
        <v>152</v>
      </c>
      <c r="B42" s="8" t="s">
        <v>153</v>
      </c>
      <c r="C42" s="8" t="s">
        <v>154</v>
      </c>
      <c r="D42" s="7"/>
      <c r="E42" s="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8" t="s">
        <v>155</v>
      </c>
      <c r="B43" s="8" t="s">
        <v>156</v>
      </c>
      <c r="C43" s="8" t="s">
        <v>157</v>
      </c>
      <c r="D43" s="7"/>
      <c r="E43" s="7"/>
      <c r="F43" s="7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8" t="s">
        <v>158</v>
      </c>
      <c r="B44" s="8" t="s">
        <v>159</v>
      </c>
      <c r="C44" s="8" t="s">
        <v>160</v>
      </c>
      <c r="D44" s="7"/>
      <c r="E44" s="7"/>
      <c r="F44" s="7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8" t="s">
        <v>161</v>
      </c>
      <c r="B45" s="8" t="s">
        <v>162</v>
      </c>
      <c r="C45" s="8" t="s">
        <v>163</v>
      </c>
      <c r="D45" s="7"/>
      <c r="E45" s="7"/>
      <c r="F45" s="7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8" t="s">
        <v>164</v>
      </c>
      <c r="B46" s="8" t="s">
        <v>165</v>
      </c>
      <c r="C46" s="8" t="s">
        <v>166</v>
      </c>
      <c r="D46" s="7"/>
      <c r="E46" s="7"/>
      <c r="F46" s="7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8" t="s">
        <v>167</v>
      </c>
      <c r="B47" s="8" t="s">
        <v>168</v>
      </c>
      <c r="C47" s="8" t="s">
        <v>169</v>
      </c>
      <c r="D47" s="7"/>
      <c r="E47" s="7"/>
      <c r="F47" s="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8" t="s">
        <v>170</v>
      </c>
      <c r="B48" s="8" t="s">
        <v>171</v>
      </c>
      <c r="C48" s="8" t="s">
        <v>172</v>
      </c>
      <c r="D48" s="7"/>
      <c r="E48" s="7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8" t="s">
        <v>173</v>
      </c>
      <c r="B49" s="8" t="s">
        <v>174</v>
      </c>
      <c r="C49" s="8" t="s">
        <v>175</v>
      </c>
      <c r="D49" s="7"/>
      <c r="E49" s="7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8" t="s">
        <v>176</v>
      </c>
      <c r="B50" s="8" t="s">
        <v>177</v>
      </c>
      <c r="C50" s="8" t="s">
        <v>178</v>
      </c>
      <c r="D50" s="7"/>
      <c r="E50" s="7"/>
      <c r="F50" s="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8" t="s">
        <v>179</v>
      </c>
      <c r="B51" s="8" t="s">
        <v>180</v>
      </c>
      <c r="C51" s="8" t="s">
        <v>181</v>
      </c>
      <c r="D51" s="7"/>
      <c r="E51" s="7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8" t="s">
        <v>182</v>
      </c>
      <c r="B52" s="8" t="s">
        <v>183</v>
      </c>
      <c r="C52" s="8" t="s">
        <v>184</v>
      </c>
      <c r="D52" s="7"/>
      <c r="E52" s="7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5" t="s">
        <v>185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8" t="s">
        <v>186</v>
      </c>
      <c r="B54" s="8" t="s">
        <v>187</v>
      </c>
      <c r="C54" s="8" t="s">
        <v>188</v>
      </c>
      <c r="D54" s="7" t="s">
        <v>29</v>
      </c>
      <c r="E54" s="7"/>
      <c r="F54" s="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8" t="s">
        <v>189</v>
      </c>
      <c r="B55" s="8" t="s">
        <v>190</v>
      </c>
      <c r="C55" s="8" t="s">
        <v>191</v>
      </c>
      <c r="D55" s="7"/>
      <c r="E55" s="7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8" t="s">
        <v>192</v>
      </c>
      <c r="B56" s="8" t="s">
        <v>193</v>
      </c>
      <c r="C56" s="8" t="s">
        <v>194</v>
      </c>
      <c r="D56" s="7"/>
      <c r="E56" s="7"/>
      <c r="F56" s="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8" t="s">
        <v>195</v>
      </c>
      <c r="B57" s="8" t="s">
        <v>196</v>
      </c>
      <c r="C57" s="8" t="s">
        <v>197</v>
      </c>
      <c r="D57" s="7"/>
      <c r="E57" s="7"/>
      <c r="F57" s="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8" t="s">
        <v>198</v>
      </c>
      <c r="B58" s="8" t="s">
        <v>199</v>
      </c>
      <c r="C58" s="8" t="s">
        <v>200</v>
      </c>
      <c r="D58" s="7"/>
      <c r="E58" s="7"/>
      <c r="F58" s="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 t="s">
        <v>201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8" t="s">
        <v>202</v>
      </c>
      <c r="B60" s="8" t="s">
        <v>203</v>
      </c>
      <c r="C60" s="8" t="s">
        <v>204</v>
      </c>
      <c r="D60" s="7"/>
      <c r="E60" s="10" t="s">
        <v>205</v>
      </c>
      <c r="F60" s="10" t="s">
        <v>205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8" t="s">
        <v>206</v>
      </c>
      <c r="B61" s="8" t="s">
        <v>207</v>
      </c>
      <c r="C61" s="8" t="s">
        <v>208</v>
      </c>
      <c r="D61" s="7"/>
      <c r="E61" s="10" t="s">
        <v>205</v>
      </c>
      <c r="F61" s="10" t="s">
        <v>205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8" t="s">
        <v>209</v>
      </c>
      <c r="B62" s="8" t="s">
        <v>210</v>
      </c>
      <c r="C62" s="8" t="s">
        <v>211</v>
      </c>
      <c r="D62" s="7"/>
      <c r="E62" s="10" t="s">
        <v>205</v>
      </c>
      <c r="F62" s="10" t="s">
        <v>205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8" t="s">
        <v>212</v>
      </c>
      <c r="B63" s="8" t="s">
        <v>213</v>
      </c>
      <c r="C63" s="8" t="s">
        <v>214</v>
      </c>
      <c r="D63" s="7"/>
      <c r="E63" s="10" t="s">
        <v>205</v>
      </c>
      <c r="F63" s="10" t="s">
        <v>205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8" t="s">
        <v>215</v>
      </c>
      <c r="B64" s="8" t="s">
        <v>216</v>
      </c>
      <c r="C64" s="8" t="s">
        <v>217</v>
      </c>
      <c r="D64" s="7"/>
      <c r="E64" s="10" t="s">
        <v>205</v>
      </c>
      <c r="F64" s="10" t="s">
        <v>205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8" t="s">
        <v>218</v>
      </c>
      <c r="B65" s="8" t="s">
        <v>219</v>
      </c>
      <c r="C65" s="8" t="s">
        <v>220</v>
      </c>
      <c r="D65" s="7"/>
      <c r="E65" s="10" t="s">
        <v>205</v>
      </c>
      <c r="F65" s="10" t="s">
        <v>205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1"/>
      <c r="B66" s="11"/>
      <c r="C66" s="11"/>
      <c r="D66" s="11"/>
      <c r="E66" s="11"/>
      <c r="F66" s="1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8" t="s">
        <v>221</v>
      </c>
      <c r="B67" s="8" t="s">
        <v>222</v>
      </c>
      <c r="C67" s="8" t="s">
        <v>223</v>
      </c>
      <c r="D67" s="7"/>
      <c r="E67" s="10" t="s">
        <v>205</v>
      </c>
      <c r="F67" s="10" t="s">
        <v>205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2"/>
      <c r="B68" s="12"/>
      <c r="C68" s="13"/>
      <c r="D68" s="13"/>
      <c r="E68" s="14"/>
      <c r="F68" s="1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3"/>
      <c r="B69" s="12"/>
      <c r="C69" s="13"/>
      <c r="D69" s="13"/>
      <c r="E69" s="13"/>
      <c r="F69" s="1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1"/>
      <c r="B70" s="11"/>
      <c r="C70" s="11"/>
      <c r="D70" s="11"/>
      <c r="E70" s="11"/>
      <c r="F70" s="1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1"/>
      <c r="B71" s="11"/>
      <c r="C71" s="11"/>
      <c r="D71" s="11"/>
      <c r="E71" s="11"/>
      <c r="F71" s="1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5"/>
      <c r="B72" s="15"/>
      <c r="C72" s="15"/>
      <c r="D72" s="16"/>
      <c r="E72" s="16"/>
      <c r="F72" s="1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6"/>
      <c r="B73" s="15"/>
      <c r="C73" s="15"/>
      <c r="D73" s="16"/>
      <c r="E73" s="16"/>
      <c r="F73" s="1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6"/>
      <c r="B74" s="15"/>
      <c r="C74" s="15"/>
      <c r="D74" s="16"/>
      <c r="E74" s="16"/>
      <c r="F74" s="1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6"/>
      <c r="B75" s="15"/>
      <c r="C75" s="15"/>
      <c r="D75" s="16"/>
      <c r="E75" s="16"/>
      <c r="F75" s="1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1"/>
      <c r="B76" s="11"/>
      <c r="C76" s="11"/>
      <c r="D76" s="11"/>
      <c r="E76" s="11"/>
      <c r="F76" s="1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1"/>
      <c r="B77" s="11"/>
      <c r="C77" s="11"/>
      <c r="D77" s="11"/>
      <c r="E77" s="11"/>
      <c r="F77" s="1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1" t="s">
        <v>224</v>
      </c>
      <c r="B78" s="17" t="s">
        <v>225</v>
      </c>
      <c r="C78" s="17" t="s">
        <v>226</v>
      </c>
      <c r="D78" s="11"/>
      <c r="E78" s="11"/>
      <c r="F78" s="1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1"/>
      <c r="B79" s="18" t="s">
        <v>227</v>
      </c>
      <c r="C79" s="17" t="s">
        <v>72</v>
      </c>
      <c r="D79" s="11"/>
      <c r="E79" s="11"/>
      <c r="F79" s="1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1"/>
      <c r="B80" s="18" t="s">
        <v>228</v>
      </c>
      <c r="C80" s="17" t="s">
        <v>77</v>
      </c>
      <c r="D80" s="11"/>
      <c r="E80" s="11"/>
      <c r="F80" s="1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1"/>
      <c r="B81" s="18" t="s">
        <v>229</v>
      </c>
      <c r="C81" s="19" t="s">
        <v>230</v>
      </c>
      <c r="D81" s="11"/>
      <c r="E81" s="11"/>
      <c r="F81" s="1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1"/>
      <c r="B82" s="18" t="s">
        <v>231</v>
      </c>
      <c r="C82" s="18" t="s">
        <v>232</v>
      </c>
      <c r="D82" s="11"/>
      <c r="E82" s="11"/>
      <c r="F82" s="1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1" t="s">
        <v>233</v>
      </c>
      <c r="B83" s="11" t="s">
        <v>234</v>
      </c>
      <c r="C83" s="11"/>
      <c r="D83" s="11"/>
      <c r="E83" s="11"/>
      <c r="F83" s="1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1"/>
      <c r="B84" s="11"/>
      <c r="C84" s="11"/>
      <c r="D84" s="11"/>
      <c r="E84" s="11"/>
      <c r="F84" s="1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1"/>
      <c r="B85" s="11"/>
      <c r="C85" s="11"/>
      <c r="D85" s="11"/>
      <c r="E85" s="11"/>
      <c r="F85" s="1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1"/>
      <c r="B86" s="11"/>
      <c r="C86" s="11"/>
      <c r="D86" s="11"/>
      <c r="E86" s="11"/>
      <c r="F86" s="1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1"/>
      <c r="B87" s="11"/>
      <c r="C87" s="11"/>
      <c r="D87" s="11"/>
      <c r="E87" s="11"/>
      <c r="F87" s="1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1"/>
      <c r="B88" s="11"/>
      <c r="C88" s="11"/>
      <c r="D88" s="11"/>
      <c r="E88" s="11"/>
      <c r="F88" s="1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1"/>
      <c r="B89" s="11"/>
      <c r="C89" s="11"/>
      <c r="D89" s="11"/>
      <c r="E89" s="11"/>
      <c r="F89" s="1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1"/>
      <c r="B90" s="11"/>
      <c r="C90" s="11"/>
      <c r="D90" s="11"/>
      <c r="E90" s="11"/>
      <c r="F90" s="1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1"/>
      <c r="B91" s="11"/>
      <c r="C91" s="11"/>
      <c r="D91" s="11"/>
      <c r="E91" s="11"/>
      <c r="F91" s="1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1"/>
      <c r="B92" s="11"/>
      <c r="C92" s="11"/>
      <c r="D92" s="11"/>
      <c r="E92" s="11"/>
      <c r="F92" s="1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1"/>
      <c r="B93" s="11"/>
      <c r="C93" s="11"/>
      <c r="D93" s="11"/>
      <c r="E93" s="11"/>
      <c r="F93" s="1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1"/>
      <c r="B94" s="11"/>
      <c r="C94" s="11"/>
      <c r="D94" s="11"/>
      <c r="E94" s="11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1"/>
      <c r="B95" s="11"/>
      <c r="C95" s="11"/>
      <c r="D95" s="11"/>
      <c r="E95" s="11"/>
      <c r="F95" s="1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1"/>
      <c r="B96" s="11"/>
      <c r="C96" s="11"/>
      <c r="D96" s="11"/>
      <c r="E96" s="11"/>
      <c r="F96" s="1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1"/>
      <c r="B97" s="11"/>
      <c r="C97" s="11"/>
      <c r="D97" s="11"/>
      <c r="E97" s="11"/>
      <c r="F97" s="1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1"/>
      <c r="B98" s="11"/>
      <c r="C98" s="11"/>
      <c r="D98" s="11"/>
      <c r="E98" s="11"/>
      <c r="F98" s="1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1"/>
      <c r="B99" s="11"/>
      <c r="C99" s="11"/>
      <c r="D99" s="11"/>
      <c r="E99" s="11"/>
      <c r="F99" s="1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1"/>
      <c r="B100" s="11"/>
      <c r="C100" s="11"/>
      <c r="D100" s="11"/>
      <c r="E100" s="11"/>
      <c r="F100" s="1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1"/>
      <c r="B101" s="11"/>
      <c r="C101" s="11"/>
      <c r="D101" s="11"/>
      <c r="E101" s="11"/>
      <c r="F101" s="1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1"/>
      <c r="B102" s="11"/>
      <c r="C102" s="11"/>
      <c r="D102" s="11"/>
      <c r="E102" s="11"/>
      <c r="F102" s="1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1"/>
      <c r="B103" s="11"/>
      <c r="C103" s="11"/>
      <c r="D103" s="11"/>
      <c r="E103" s="11"/>
      <c r="F103" s="1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1"/>
      <c r="B104" s="11"/>
      <c r="C104" s="11"/>
      <c r="D104" s="11"/>
      <c r="E104" s="11"/>
      <c r="F104" s="1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1"/>
      <c r="B105" s="11"/>
      <c r="C105" s="11"/>
      <c r="D105" s="11"/>
      <c r="E105" s="11"/>
      <c r="F105" s="1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1"/>
      <c r="B106" s="11"/>
      <c r="C106" s="11"/>
      <c r="D106" s="11"/>
      <c r="E106" s="11"/>
      <c r="F106" s="1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1"/>
      <c r="B107" s="11"/>
      <c r="C107" s="11"/>
      <c r="D107" s="11"/>
      <c r="E107" s="11"/>
      <c r="F107" s="1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1"/>
      <c r="B108" s="11"/>
      <c r="C108" s="11"/>
      <c r="D108" s="11"/>
      <c r="E108" s="11"/>
      <c r="F108" s="1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1"/>
      <c r="B109" s="11"/>
      <c r="C109" s="11"/>
      <c r="D109" s="11"/>
      <c r="E109" s="11"/>
      <c r="F109" s="1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1"/>
      <c r="B110" s="11"/>
      <c r="C110" s="11"/>
      <c r="D110" s="11"/>
      <c r="E110" s="11"/>
      <c r="F110" s="1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1"/>
      <c r="B111" s="11"/>
      <c r="C111" s="11"/>
      <c r="D111" s="11"/>
      <c r="E111" s="11"/>
      <c r="F111" s="1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1"/>
      <c r="B112" s="11"/>
      <c r="C112" s="11"/>
      <c r="D112" s="11"/>
      <c r="E112" s="11"/>
      <c r="F112" s="1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1"/>
      <c r="B113" s="11"/>
      <c r="C113" s="11"/>
      <c r="D113" s="11"/>
      <c r="E113" s="11"/>
      <c r="F113" s="1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1"/>
      <c r="B114" s="11"/>
      <c r="C114" s="11"/>
      <c r="D114" s="11"/>
      <c r="E114" s="11"/>
      <c r="F114" s="1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1"/>
      <c r="B115" s="11"/>
      <c r="C115" s="11"/>
      <c r="D115" s="11"/>
      <c r="E115" s="11"/>
      <c r="F115" s="1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1"/>
      <c r="B116" s="11"/>
      <c r="C116" s="11"/>
      <c r="D116" s="11"/>
      <c r="E116" s="11"/>
      <c r="F116" s="1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1"/>
      <c r="B117" s="11"/>
      <c r="C117" s="11"/>
      <c r="D117" s="11"/>
      <c r="E117" s="11"/>
      <c r="F117" s="1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1"/>
      <c r="B118" s="11"/>
      <c r="C118" s="11"/>
      <c r="D118" s="11"/>
      <c r="E118" s="11"/>
      <c r="F118" s="1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1"/>
      <c r="B119" s="11"/>
      <c r="C119" s="11"/>
      <c r="D119" s="11"/>
      <c r="E119" s="11"/>
      <c r="F119" s="1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1"/>
      <c r="B120" s="11"/>
      <c r="C120" s="11"/>
      <c r="D120" s="11"/>
      <c r="E120" s="11"/>
      <c r="F120" s="1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1"/>
      <c r="B121" s="11"/>
      <c r="C121" s="11"/>
      <c r="D121" s="11"/>
      <c r="E121" s="11"/>
      <c r="F121" s="1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1"/>
      <c r="B122" s="11"/>
      <c r="C122" s="11"/>
      <c r="D122" s="11"/>
      <c r="E122" s="11"/>
      <c r="F122" s="1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1"/>
      <c r="B123" s="11"/>
      <c r="C123" s="11"/>
      <c r="D123" s="11"/>
      <c r="E123" s="11"/>
      <c r="F123" s="1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1"/>
      <c r="B124" s="11"/>
      <c r="C124" s="11"/>
      <c r="D124" s="11"/>
      <c r="E124" s="11"/>
      <c r="F124" s="1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1"/>
      <c r="B125" s="11"/>
      <c r="C125" s="11"/>
      <c r="D125" s="11"/>
      <c r="E125" s="11"/>
      <c r="F125" s="1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1"/>
      <c r="B126" s="11"/>
      <c r="C126" s="11"/>
      <c r="D126" s="11"/>
      <c r="E126" s="11"/>
      <c r="F126" s="1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1"/>
      <c r="B127" s="11"/>
      <c r="C127" s="11"/>
      <c r="D127" s="11"/>
      <c r="E127" s="11"/>
      <c r="F127" s="1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1"/>
      <c r="B128" s="11"/>
      <c r="C128" s="11"/>
      <c r="D128" s="11"/>
      <c r="E128" s="11"/>
      <c r="F128" s="1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1"/>
      <c r="B129" s="11"/>
      <c r="C129" s="11"/>
      <c r="D129" s="11"/>
      <c r="E129" s="11"/>
      <c r="F129" s="1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1"/>
      <c r="B130" s="11"/>
      <c r="C130" s="11"/>
      <c r="D130" s="11"/>
      <c r="E130" s="11"/>
      <c r="F130" s="1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1"/>
      <c r="B131" s="11"/>
      <c r="C131" s="11"/>
      <c r="D131" s="11"/>
      <c r="E131" s="11"/>
      <c r="F131" s="1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1"/>
      <c r="B132" s="11"/>
      <c r="C132" s="11"/>
      <c r="D132" s="11"/>
      <c r="E132" s="11"/>
      <c r="F132" s="1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1"/>
      <c r="B133" s="11"/>
      <c r="C133" s="11"/>
      <c r="D133" s="11"/>
      <c r="E133" s="11"/>
      <c r="F133" s="1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1"/>
      <c r="B134" s="11"/>
      <c r="C134" s="11"/>
      <c r="D134" s="11"/>
      <c r="E134" s="11"/>
      <c r="F134" s="1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1"/>
      <c r="B135" s="11"/>
      <c r="C135" s="11"/>
      <c r="D135" s="11"/>
      <c r="E135" s="11"/>
      <c r="F135" s="1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1"/>
      <c r="B136" s="11"/>
      <c r="C136" s="11"/>
      <c r="D136" s="11"/>
      <c r="E136" s="11"/>
      <c r="F136" s="1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1"/>
      <c r="B137" s="11"/>
      <c r="C137" s="11"/>
      <c r="D137" s="11"/>
      <c r="E137" s="11"/>
      <c r="F137" s="1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1"/>
      <c r="B138" s="11"/>
      <c r="C138" s="11"/>
      <c r="D138" s="11"/>
      <c r="E138" s="11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1"/>
      <c r="B139" s="11"/>
      <c r="C139" s="11"/>
      <c r="D139" s="11"/>
      <c r="E139" s="11"/>
      <c r="F139" s="1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1"/>
      <c r="B140" s="11"/>
      <c r="C140" s="11"/>
      <c r="D140" s="11"/>
      <c r="E140" s="11"/>
      <c r="F140" s="1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1"/>
      <c r="B141" s="11"/>
      <c r="C141" s="11"/>
      <c r="D141" s="11"/>
      <c r="E141" s="11"/>
      <c r="F141" s="1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1"/>
      <c r="B142" s="11"/>
      <c r="C142" s="11"/>
      <c r="D142" s="11"/>
      <c r="E142" s="11"/>
      <c r="F142" s="1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1"/>
      <c r="B143" s="11"/>
      <c r="C143" s="11"/>
      <c r="D143" s="11"/>
      <c r="E143" s="11"/>
      <c r="F143" s="1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1"/>
      <c r="B144" s="11"/>
      <c r="C144" s="11"/>
      <c r="D144" s="11"/>
      <c r="E144" s="11"/>
      <c r="F144" s="1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1"/>
      <c r="B145" s="11"/>
      <c r="C145" s="11"/>
      <c r="D145" s="11"/>
      <c r="E145" s="11"/>
      <c r="F145" s="1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1"/>
      <c r="B146" s="11"/>
      <c r="C146" s="11"/>
      <c r="D146" s="11"/>
      <c r="E146" s="11"/>
      <c r="F146" s="1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1"/>
      <c r="B147" s="11"/>
      <c r="C147" s="11"/>
      <c r="D147" s="11"/>
      <c r="E147" s="11"/>
      <c r="F147" s="1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1"/>
      <c r="B148" s="11"/>
      <c r="C148" s="11"/>
      <c r="D148" s="11"/>
      <c r="E148" s="11"/>
      <c r="F148" s="1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1"/>
      <c r="B149" s="11"/>
      <c r="C149" s="11"/>
      <c r="D149" s="11"/>
      <c r="E149" s="11"/>
      <c r="F149" s="1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1"/>
      <c r="B150" s="11"/>
      <c r="C150" s="11"/>
      <c r="D150" s="11"/>
      <c r="E150" s="11"/>
      <c r="F150" s="1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1"/>
      <c r="B151" s="11"/>
      <c r="C151" s="11"/>
      <c r="D151" s="11"/>
      <c r="E151" s="11"/>
      <c r="F151" s="1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1"/>
      <c r="B152" s="11"/>
      <c r="C152" s="11"/>
      <c r="D152" s="11"/>
      <c r="E152" s="11"/>
      <c r="F152" s="1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1"/>
      <c r="B153" s="11"/>
      <c r="C153" s="11"/>
      <c r="D153" s="11"/>
      <c r="E153" s="11"/>
      <c r="F153" s="1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1"/>
      <c r="B154" s="11"/>
      <c r="C154" s="11"/>
      <c r="D154" s="11"/>
      <c r="E154" s="11"/>
      <c r="F154" s="1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1"/>
      <c r="B155" s="11"/>
      <c r="C155" s="11"/>
      <c r="D155" s="11"/>
      <c r="E155" s="11"/>
      <c r="F155" s="1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1"/>
      <c r="B156" s="11"/>
      <c r="C156" s="11"/>
      <c r="D156" s="11"/>
      <c r="E156" s="11"/>
      <c r="F156" s="1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1"/>
      <c r="B157" s="11"/>
      <c r="C157" s="11"/>
      <c r="D157" s="11"/>
      <c r="E157" s="11"/>
      <c r="F157" s="1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1"/>
      <c r="B158" s="11"/>
      <c r="C158" s="11"/>
      <c r="D158" s="11"/>
      <c r="E158" s="11"/>
      <c r="F158" s="1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1"/>
      <c r="B159" s="11"/>
      <c r="C159" s="11"/>
      <c r="D159" s="11"/>
      <c r="E159" s="11"/>
      <c r="F159" s="1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1"/>
      <c r="B160" s="11"/>
      <c r="C160" s="11"/>
      <c r="D160" s="11"/>
      <c r="E160" s="11"/>
      <c r="F160" s="1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1"/>
      <c r="B161" s="11"/>
      <c r="C161" s="11"/>
      <c r="D161" s="11"/>
      <c r="E161" s="11"/>
      <c r="F161" s="1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1"/>
      <c r="B162" s="11"/>
      <c r="C162" s="11"/>
      <c r="D162" s="11"/>
      <c r="E162" s="11"/>
      <c r="F162" s="1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1"/>
      <c r="B163" s="11"/>
      <c r="C163" s="11"/>
      <c r="D163" s="11"/>
      <c r="E163" s="11"/>
      <c r="F163" s="1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1"/>
      <c r="B164" s="11"/>
      <c r="C164" s="11"/>
      <c r="D164" s="11"/>
      <c r="E164" s="11"/>
      <c r="F164" s="1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1"/>
      <c r="B165" s="11"/>
      <c r="C165" s="11"/>
      <c r="D165" s="11"/>
      <c r="E165" s="11"/>
      <c r="F165" s="1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1"/>
      <c r="B166" s="11"/>
      <c r="C166" s="11"/>
      <c r="D166" s="11"/>
      <c r="E166" s="11"/>
      <c r="F166" s="1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1"/>
      <c r="B167" s="11"/>
      <c r="C167" s="11"/>
      <c r="D167" s="11"/>
      <c r="E167" s="11"/>
      <c r="F167" s="1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1"/>
      <c r="B168" s="11"/>
      <c r="C168" s="11"/>
      <c r="D168" s="11"/>
      <c r="E168" s="11"/>
      <c r="F168" s="1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1"/>
      <c r="B169" s="11"/>
      <c r="C169" s="11"/>
      <c r="D169" s="11"/>
      <c r="E169" s="11"/>
      <c r="F169" s="1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1"/>
      <c r="B170" s="11"/>
      <c r="C170" s="11"/>
      <c r="D170" s="11"/>
      <c r="E170" s="11"/>
      <c r="F170" s="1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1"/>
      <c r="B171" s="11"/>
      <c r="C171" s="11"/>
      <c r="D171" s="11"/>
      <c r="E171" s="11"/>
      <c r="F171" s="1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1"/>
      <c r="B172" s="11"/>
      <c r="C172" s="11"/>
      <c r="D172" s="11"/>
      <c r="E172" s="11"/>
      <c r="F172" s="1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1"/>
      <c r="B173" s="11"/>
      <c r="C173" s="11"/>
      <c r="D173" s="11"/>
      <c r="E173" s="11"/>
      <c r="F173" s="1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1"/>
      <c r="B174" s="11"/>
      <c r="C174" s="11"/>
      <c r="D174" s="11"/>
      <c r="E174" s="11"/>
      <c r="F174" s="1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1"/>
      <c r="B175" s="11"/>
      <c r="C175" s="11"/>
      <c r="D175" s="11"/>
      <c r="E175" s="11"/>
      <c r="F175" s="1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1"/>
      <c r="B176" s="11"/>
      <c r="C176" s="11"/>
      <c r="D176" s="11"/>
      <c r="E176" s="11"/>
      <c r="F176" s="1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1"/>
      <c r="B177" s="11"/>
      <c r="C177" s="11"/>
      <c r="D177" s="11"/>
      <c r="E177" s="11"/>
      <c r="F177" s="1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1"/>
      <c r="B178" s="11"/>
      <c r="C178" s="11"/>
      <c r="D178" s="11"/>
      <c r="E178" s="11"/>
      <c r="F178" s="1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1"/>
      <c r="B179" s="11"/>
      <c r="C179" s="11"/>
      <c r="D179" s="11"/>
      <c r="E179" s="11"/>
      <c r="F179" s="1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1"/>
      <c r="B180" s="11"/>
      <c r="C180" s="11"/>
      <c r="D180" s="11"/>
      <c r="E180" s="11"/>
      <c r="F180" s="1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1"/>
      <c r="B181" s="11"/>
      <c r="C181" s="11"/>
      <c r="D181" s="11"/>
      <c r="E181" s="11"/>
      <c r="F181" s="1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1"/>
      <c r="B182" s="11"/>
      <c r="C182" s="11"/>
      <c r="D182" s="11"/>
      <c r="E182" s="11"/>
      <c r="F182" s="1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1"/>
      <c r="B183" s="11"/>
      <c r="C183" s="11"/>
      <c r="D183" s="11"/>
      <c r="E183" s="11"/>
      <c r="F183" s="1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1"/>
      <c r="B184" s="11"/>
      <c r="C184" s="11"/>
      <c r="D184" s="11"/>
      <c r="E184" s="11"/>
      <c r="F184" s="1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1"/>
      <c r="B185" s="11"/>
      <c r="C185" s="11"/>
      <c r="D185" s="11"/>
      <c r="E185" s="11"/>
      <c r="F185" s="1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1"/>
      <c r="B186" s="11"/>
      <c r="C186" s="11"/>
      <c r="D186" s="11"/>
      <c r="E186" s="11"/>
      <c r="F186" s="1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1"/>
      <c r="B187" s="11"/>
      <c r="C187" s="11"/>
      <c r="D187" s="11"/>
      <c r="E187" s="11"/>
      <c r="F187" s="1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1"/>
      <c r="B188" s="11"/>
      <c r="C188" s="11"/>
      <c r="D188" s="11"/>
      <c r="E188" s="11"/>
      <c r="F188" s="1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1"/>
      <c r="B189" s="11"/>
      <c r="C189" s="11"/>
      <c r="D189" s="11"/>
      <c r="E189" s="11"/>
      <c r="F189" s="1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1"/>
      <c r="B190" s="11"/>
      <c r="C190" s="11"/>
      <c r="D190" s="11"/>
      <c r="E190" s="11"/>
      <c r="F190" s="1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1"/>
      <c r="B191" s="11"/>
      <c r="C191" s="11"/>
      <c r="D191" s="11"/>
      <c r="E191" s="11"/>
      <c r="F191" s="1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1"/>
      <c r="B192" s="11"/>
      <c r="C192" s="11"/>
      <c r="D192" s="11"/>
      <c r="E192" s="11"/>
      <c r="F192" s="1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1"/>
      <c r="B193" s="11"/>
      <c r="C193" s="11"/>
      <c r="D193" s="11"/>
      <c r="E193" s="11"/>
      <c r="F193" s="1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1"/>
      <c r="B194" s="11"/>
      <c r="C194" s="11"/>
      <c r="D194" s="11"/>
      <c r="E194" s="11"/>
      <c r="F194" s="1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1"/>
      <c r="B195" s="11"/>
      <c r="C195" s="11"/>
      <c r="D195" s="11"/>
      <c r="E195" s="11"/>
      <c r="F195" s="1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1"/>
      <c r="B196" s="11"/>
      <c r="C196" s="11"/>
      <c r="D196" s="11"/>
      <c r="E196" s="11"/>
      <c r="F196" s="1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1"/>
      <c r="B197" s="11"/>
      <c r="C197" s="11"/>
      <c r="D197" s="11"/>
      <c r="E197" s="11"/>
      <c r="F197" s="1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1"/>
      <c r="B198" s="11"/>
      <c r="C198" s="11"/>
      <c r="D198" s="11"/>
      <c r="E198" s="11"/>
      <c r="F198" s="1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1"/>
      <c r="B199" s="11"/>
      <c r="C199" s="11"/>
      <c r="D199" s="11"/>
      <c r="E199" s="11"/>
      <c r="F199" s="1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1"/>
      <c r="B200" s="11"/>
      <c r="C200" s="11"/>
      <c r="D200" s="11"/>
      <c r="E200" s="11"/>
      <c r="F200" s="1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1"/>
      <c r="B201" s="11"/>
      <c r="C201" s="11"/>
      <c r="D201" s="11"/>
      <c r="E201" s="11"/>
      <c r="F201" s="1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1"/>
      <c r="B202" s="11"/>
      <c r="C202" s="11"/>
      <c r="D202" s="11"/>
      <c r="E202" s="11"/>
      <c r="F202" s="1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1"/>
      <c r="B203" s="11"/>
      <c r="C203" s="11"/>
      <c r="D203" s="11"/>
      <c r="E203" s="11"/>
      <c r="F203" s="1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1"/>
      <c r="B204" s="11"/>
      <c r="C204" s="11"/>
      <c r="D204" s="11"/>
      <c r="E204" s="11"/>
      <c r="F204" s="1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1"/>
      <c r="B205" s="11"/>
      <c r="C205" s="11"/>
      <c r="D205" s="11"/>
      <c r="E205" s="11"/>
      <c r="F205" s="1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1"/>
      <c r="B206" s="11"/>
      <c r="C206" s="11"/>
      <c r="D206" s="11"/>
      <c r="E206" s="11"/>
      <c r="F206" s="1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1"/>
      <c r="B207" s="11"/>
      <c r="C207" s="11"/>
      <c r="D207" s="11"/>
      <c r="E207" s="11"/>
      <c r="F207" s="1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1"/>
      <c r="B208" s="11"/>
      <c r="C208" s="11"/>
      <c r="D208" s="11"/>
      <c r="E208" s="11"/>
      <c r="F208" s="1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1"/>
      <c r="B209" s="11"/>
      <c r="C209" s="11"/>
      <c r="D209" s="11"/>
      <c r="E209" s="11"/>
      <c r="F209" s="1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1"/>
      <c r="B210" s="11"/>
      <c r="C210" s="11"/>
      <c r="D210" s="11"/>
      <c r="E210" s="11"/>
      <c r="F210" s="1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1"/>
      <c r="B211" s="11"/>
      <c r="C211" s="11"/>
      <c r="D211" s="11"/>
      <c r="E211" s="11"/>
      <c r="F211" s="1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1"/>
      <c r="B212" s="11"/>
      <c r="C212" s="11"/>
      <c r="D212" s="11"/>
      <c r="E212" s="11"/>
      <c r="F212" s="1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1"/>
      <c r="B213" s="11"/>
      <c r="C213" s="11"/>
      <c r="D213" s="11"/>
      <c r="E213" s="11"/>
      <c r="F213" s="1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1"/>
      <c r="B214" s="11"/>
      <c r="C214" s="11"/>
      <c r="D214" s="11"/>
      <c r="E214" s="11"/>
      <c r="F214" s="1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1"/>
      <c r="B215" s="11"/>
      <c r="C215" s="11"/>
      <c r="D215" s="11"/>
      <c r="E215" s="11"/>
      <c r="F215" s="1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1"/>
      <c r="B216" s="11"/>
      <c r="C216" s="11"/>
      <c r="D216" s="11"/>
      <c r="E216" s="11"/>
      <c r="F216" s="1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1"/>
      <c r="B217" s="11"/>
      <c r="C217" s="11"/>
      <c r="D217" s="11"/>
      <c r="E217" s="11"/>
      <c r="F217" s="1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1"/>
      <c r="B218" s="11"/>
      <c r="C218" s="11"/>
      <c r="D218" s="11"/>
      <c r="E218" s="11"/>
      <c r="F218" s="1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1"/>
      <c r="B219" s="11"/>
      <c r="C219" s="11"/>
      <c r="D219" s="11"/>
      <c r="E219" s="11"/>
      <c r="F219" s="1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1"/>
      <c r="B220" s="11"/>
      <c r="C220" s="11"/>
      <c r="D220" s="11"/>
      <c r="E220" s="11"/>
      <c r="F220" s="1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1"/>
      <c r="B222" s="11"/>
      <c r="C222" s="11"/>
      <c r="D222" s="11"/>
      <c r="E222" s="11"/>
      <c r="F222" s="1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1"/>
      <c r="B223" s="11"/>
      <c r="C223" s="11"/>
      <c r="D223" s="11"/>
      <c r="E223" s="11"/>
      <c r="F223" s="1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1"/>
      <c r="B224" s="11"/>
      <c r="C224" s="11"/>
      <c r="D224" s="11"/>
      <c r="E224" s="11"/>
      <c r="F224" s="1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1"/>
      <c r="B225" s="11"/>
      <c r="C225" s="11"/>
      <c r="D225" s="11"/>
      <c r="E225" s="11"/>
      <c r="F225" s="1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1"/>
      <c r="B226" s="11"/>
      <c r="C226" s="11"/>
      <c r="D226" s="11"/>
      <c r="E226" s="11"/>
      <c r="F226" s="1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1"/>
      <c r="B227" s="11"/>
      <c r="C227" s="11"/>
      <c r="D227" s="11"/>
      <c r="E227" s="11"/>
      <c r="F227" s="1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1"/>
      <c r="B228" s="11"/>
      <c r="C228" s="11"/>
      <c r="D228" s="11"/>
      <c r="E228" s="11"/>
      <c r="F228" s="1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1"/>
      <c r="B229" s="11"/>
      <c r="C229" s="11"/>
      <c r="D229" s="11"/>
      <c r="E229" s="11"/>
      <c r="F229" s="1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1"/>
      <c r="B230" s="11"/>
      <c r="C230" s="11"/>
      <c r="D230" s="11"/>
      <c r="E230" s="11"/>
      <c r="F230" s="1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1"/>
      <c r="B231" s="11"/>
      <c r="C231" s="11"/>
      <c r="D231" s="11"/>
      <c r="E231" s="11"/>
      <c r="F231" s="1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1"/>
      <c r="B232" s="11"/>
      <c r="C232" s="11"/>
      <c r="D232" s="11"/>
      <c r="E232" s="11"/>
      <c r="F232" s="1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1"/>
      <c r="B233" s="11"/>
      <c r="C233" s="11"/>
      <c r="D233" s="11"/>
      <c r="E233" s="11"/>
      <c r="F233" s="1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1"/>
      <c r="B234" s="11"/>
      <c r="C234" s="11"/>
      <c r="D234" s="11"/>
      <c r="E234" s="11"/>
      <c r="F234" s="1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1"/>
      <c r="B235" s="11"/>
      <c r="C235" s="11"/>
      <c r="D235" s="11"/>
      <c r="E235" s="11"/>
      <c r="F235" s="1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1"/>
      <c r="B236" s="11"/>
      <c r="C236" s="11"/>
      <c r="D236" s="11"/>
      <c r="E236" s="11"/>
      <c r="F236" s="1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1"/>
      <c r="B237" s="11"/>
      <c r="C237" s="11"/>
      <c r="D237" s="11"/>
      <c r="E237" s="11"/>
      <c r="F237" s="1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1"/>
      <c r="B238" s="11"/>
      <c r="C238" s="11"/>
      <c r="D238" s="11"/>
      <c r="E238" s="11"/>
      <c r="F238" s="1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1"/>
      <c r="B239" s="11"/>
      <c r="C239" s="11"/>
      <c r="D239" s="11"/>
      <c r="E239" s="11"/>
      <c r="F239" s="1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1"/>
      <c r="B240" s="11"/>
      <c r="C240" s="11"/>
      <c r="D240" s="11"/>
      <c r="E240" s="11"/>
      <c r="F240" s="1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1"/>
      <c r="B241" s="11"/>
      <c r="C241" s="11"/>
      <c r="D241" s="11"/>
      <c r="E241" s="11"/>
      <c r="F241" s="1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1"/>
      <c r="B242" s="11"/>
      <c r="C242" s="11"/>
      <c r="D242" s="11"/>
      <c r="E242" s="11"/>
      <c r="F242" s="1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1"/>
      <c r="B243" s="11"/>
      <c r="C243" s="11"/>
      <c r="D243" s="11"/>
      <c r="E243" s="11"/>
      <c r="F243" s="1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1"/>
      <c r="B244" s="11"/>
      <c r="C244" s="11"/>
      <c r="D244" s="11"/>
      <c r="E244" s="11"/>
      <c r="F244" s="1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1"/>
      <c r="B245" s="11"/>
      <c r="C245" s="11"/>
      <c r="D245" s="11"/>
      <c r="E245" s="11"/>
      <c r="F245" s="1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1"/>
      <c r="B246" s="11"/>
      <c r="C246" s="11"/>
      <c r="D246" s="11"/>
      <c r="E246" s="11"/>
      <c r="F246" s="1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1"/>
      <c r="B247" s="11"/>
      <c r="C247" s="11"/>
      <c r="D247" s="11"/>
      <c r="E247" s="11"/>
      <c r="F247" s="1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1"/>
      <c r="B248" s="11"/>
      <c r="C248" s="11"/>
      <c r="D248" s="11"/>
      <c r="E248" s="11"/>
      <c r="F248" s="1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1"/>
      <c r="B249" s="11"/>
      <c r="C249" s="11"/>
      <c r="D249" s="11"/>
      <c r="E249" s="11"/>
      <c r="F249" s="1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1"/>
      <c r="B250" s="11"/>
      <c r="C250" s="11"/>
      <c r="D250" s="11"/>
      <c r="E250" s="11"/>
      <c r="F250" s="1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1"/>
      <c r="B251" s="11"/>
      <c r="C251" s="11"/>
      <c r="D251" s="11"/>
      <c r="E251" s="11"/>
      <c r="F251" s="1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1"/>
      <c r="B252" s="11"/>
      <c r="C252" s="11"/>
      <c r="D252" s="11"/>
      <c r="E252" s="11"/>
      <c r="F252" s="1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1"/>
      <c r="B253" s="11"/>
      <c r="C253" s="11"/>
      <c r="D253" s="11"/>
      <c r="E253" s="11"/>
      <c r="F253" s="1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1"/>
      <c r="B254" s="11"/>
      <c r="C254" s="11"/>
      <c r="D254" s="11"/>
      <c r="E254" s="11"/>
      <c r="F254" s="1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1"/>
      <c r="B255" s="11"/>
      <c r="C255" s="11"/>
      <c r="D255" s="11"/>
      <c r="E255" s="11"/>
      <c r="F255" s="1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1"/>
      <c r="B256" s="11"/>
      <c r="C256" s="11"/>
      <c r="D256" s="11"/>
      <c r="E256" s="11"/>
      <c r="F256" s="1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1"/>
      <c r="B257" s="11"/>
      <c r="C257" s="11"/>
      <c r="D257" s="11"/>
      <c r="E257" s="11"/>
      <c r="F257" s="1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1"/>
      <c r="B258" s="11"/>
      <c r="C258" s="11"/>
      <c r="D258" s="11"/>
      <c r="E258" s="11"/>
      <c r="F258" s="1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1"/>
      <c r="B259" s="11"/>
      <c r="C259" s="11"/>
      <c r="D259" s="11"/>
      <c r="E259" s="11"/>
      <c r="F259" s="1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1"/>
      <c r="B260" s="11"/>
      <c r="C260" s="11"/>
      <c r="D260" s="11"/>
      <c r="E260" s="11"/>
      <c r="F260" s="1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1"/>
      <c r="B261" s="11"/>
      <c r="C261" s="11"/>
      <c r="D261" s="11"/>
      <c r="E261" s="11"/>
      <c r="F261" s="1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1"/>
      <c r="B262" s="11"/>
      <c r="C262" s="11"/>
      <c r="D262" s="11"/>
      <c r="E262" s="11"/>
      <c r="F262" s="1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1"/>
      <c r="B263" s="11"/>
      <c r="C263" s="11"/>
      <c r="D263" s="11"/>
      <c r="E263" s="11"/>
      <c r="F263" s="1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1"/>
      <c r="B264" s="11"/>
      <c r="C264" s="11"/>
      <c r="D264" s="11"/>
      <c r="E264" s="11"/>
      <c r="F264" s="1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1"/>
      <c r="B265" s="11"/>
      <c r="C265" s="11"/>
      <c r="D265" s="11"/>
      <c r="E265" s="11"/>
      <c r="F265" s="1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1"/>
      <c r="B266" s="11"/>
      <c r="C266" s="11"/>
      <c r="D266" s="11"/>
      <c r="E266" s="11"/>
      <c r="F266" s="1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1"/>
      <c r="B267" s="11"/>
      <c r="C267" s="11"/>
      <c r="D267" s="11"/>
      <c r="E267" s="11"/>
      <c r="F267" s="1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1"/>
      <c r="B268" s="11"/>
      <c r="C268" s="11"/>
      <c r="D268" s="11"/>
      <c r="E268" s="11"/>
      <c r="F268" s="1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1"/>
      <c r="B269" s="11"/>
      <c r="C269" s="11"/>
      <c r="D269" s="11"/>
      <c r="E269" s="11"/>
      <c r="F269" s="1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1"/>
      <c r="B270" s="11"/>
      <c r="C270" s="11"/>
      <c r="D270" s="11"/>
      <c r="E270" s="11"/>
      <c r="F270" s="1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1"/>
      <c r="B271" s="11"/>
      <c r="C271" s="11"/>
      <c r="D271" s="11"/>
      <c r="E271" s="11"/>
      <c r="F271" s="1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1"/>
      <c r="B272" s="11"/>
      <c r="C272" s="11"/>
      <c r="D272" s="11"/>
      <c r="E272" s="11"/>
      <c r="F272" s="1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1"/>
      <c r="B273" s="11"/>
      <c r="C273" s="11"/>
      <c r="D273" s="11"/>
      <c r="E273" s="11"/>
      <c r="F273" s="1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1"/>
      <c r="B274" s="11"/>
      <c r="C274" s="11"/>
      <c r="D274" s="11"/>
      <c r="E274" s="11"/>
      <c r="F274" s="1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1"/>
      <c r="B275" s="11"/>
      <c r="C275" s="11"/>
      <c r="D275" s="11"/>
      <c r="E275" s="11"/>
      <c r="F275" s="1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1"/>
      <c r="B276" s="11"/>
      <c r="C276" s="11"/>
      <c r="D276" s="11"/>
      <c r="E276" s="11"/>
      <c r="F276" s="1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1"/>
      <c r="B277" s="11"/>
      <c r="C277" s="11"/>
      <c r="D277" s="11"/>
      <c r="E277" s="11"/>
      <c r="F277" s="1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1"/>
      <c r="B278" s="11"/>
      <c r="C278" s="11"/>
      <c r="D278" s="11"/>
      <c r="E278" s="11"/>
      <c r="F278" s="1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1"/>
      <c r="B279" s="11"/>
      <c r="C279" s="11"/>
      <c r="D279" s="11"/>
      <c r="E279" s="11"/>
      <c r="F279" s="1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1"/>
      <c r="B280" s="11"/>
      <c r="C280" s="11"/>
      <c r="D280" s="11"/>
      <c r="E280" s="11"/>
      <c r="F280" s="1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1"/>
      <c r="B281" s="11"/>
      <c r="C281" s="11"/>
      <c r="D281" s="11"/>
      <c r="E281" s="11"/>
      <c r="F281" s="1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1"/>
      <c r="B282" s="11"/>
      <c r="C282" s="11"/>
      <c r="D282" s="11"/>
      <c r="E282" s="11"/>
      <c r="F282" s="1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1"/>
      <c r="B283" s="11"/>
      <c r="C283" s="11"/>
      <c r="D283" s="11"/>
      <c r="E283" s="11"/>
      <c r="F283" s="1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F1"/>
    <mergeCell ref="A2:F2"/>
    <mergeCell ref="A4:F4"/>
    <mergeCell ref="A12:F12"/>
    <mergeCell ref="A21:F21"/>
    <mergeCell ref="A36:F36"/>
    <mergeCell ref="A53:F53"/>
    <mergeCell ref="A59:F5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8.71"/>
    <col customWidth="1" min="3" max="3" width="28.0"/>
    <col customWidth="1" min="4" max="4" width="24.0"/>
    <col customWidth="1" min="5" max="5" width="28.0"/>
    <col customWidth="1" min="6" max="6" width="24.0"/>
    <col customWidth="1" min="7" max="7" width="12.0"/>
    <col customWidth="1" min="8" max="8" width="10.0"/>
    <col customWidth="1" min="9" max="9" width="30.0"/>
    <col customWidth="1" min="10" max="10" width="8.0"/>
    <col customWidth="1" min="11" max="12" width="14.0"/>
    <col customWidth="1" min="13" max="13" width="38.0"/>
    <col customWidth="1" min="14" max="14" width="14.57"/>
  </cols>
  <sheetData>
    <row r="1" ht="27.75" customHeight="1">
      <c r="A1" s="20" t="s">
        <v>235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236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  <c r="I3" s="4" t="s">
        <v>244</v>
      </c>
      <c r="J3" s="4" t="s">
        <v>245</v>
      </c>
      <c r="K3" s="4" t="s">
        <v>246</v>
      </c>
      <c r="L3" s="4" t="s">
        <v>247</v>
      </c>
      <c r="M3" s="4" t="s">
        <v>248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21" t="s">
        <v>249</v>
      </c>
      <c r="B4" s="21" t="s">
        <v>250</v>
      </c>
      <c r="C4" s="21" t="s">
        <v>10</v>
      </c>
      <c r="D4" s="21" t="str">
        <f>IFERROR(IF('IP Input Sheet'!D5&lt;&gt;"",'IP Input Sheet'!D5,IF('IP Input Sheet'!E5&lt;&gt;"",'IP Input Sheet'!E5,'IP Input Sheet'!F5)),"[Enter IP]")</f>
        <v>10.5.25.86</v>
      </c>
      <c r="E4" s="21" t="s">
        <v>47</v>
      </c>
      <c r="F4" s="21" t="str">
        <f>IFERROR(IF('IP Input Sheet'!D16&lt;&gt;"",'IP Input Sheet'!D16,IF('IP Input Sheet'!E16&lt;&gt;"",'IP Input Sheet'!E16,'IP Input Sheet'!F16)),"[Enter IP]")</f>
        <v>10.3.118.30</v>
      </c>
      <c r="G4" s="21" t="s">
        <v>251</v>
      </c>
      <c r="H4" s="21" t="s">
        <v>252</v>
      </c>
      <c r="I4" s="21" t="s">
        <v>253</v>
      </c>
      <c r="J4" s="22" t="s">
        <v>254</v>
      </c>
      <c r="K4" s="23" t="s">
        <v>255</v>
      </c>
      <c r="L4" s="21" t="s">
        <v>256</v>
      </c>
      <c r="M4" s="21" t="s">
        <v>257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4" t="s">
        <v>258</v>
      </c>
      <c r="B5" s="24" t="s">
        <v>259</v>
      </c>
      <c r="C5" s="24" t="s">
        <v>10</v>
      </c>
      <c r="D5" s="24" t="str">
        <f>IFERROR(IF('IP Input Sheet'!D5&lt;&gt;"",'IP Input Sheet'!D5,IF('IP Input Sheet'!E5&lt;&gt;"",'IP Input Sheet'!E5,'IP Input Sheet'!F5)),"[Enter IP]")</f>
        <v>10.5.25.86</v>
      </c>
      <c r="E5" s="24" t="s">
        <v>14</v>
      </c>
      <c r="F5" s="24" t="str">
        <f>IFERROR(IF('IP Input Sheet'!D6&lt;&gt;"",'IP Input Sheet'!D6,IF('IP Input Sheet'!E6&lt;&gt;"",'IP Input Sheet'!E6,'IP Input Sheet'!F6)),"[Enter IP]")</f>
        <v>10.5.25.64/26</v>
      </c>
      <c r="G5" s="24" t="s">
        <v>251</v>
      </c>
      <c r="H5" s="24" t="s">
        <v>252</v>
      </c>
      <c r="I5" s="24" t="s">
        <v>260</v>
      </c>
      <c r="J5" s="22" t="s">
        <v>254</v>
      </c>
      <c r="K5" s="23" t="s">
        <v>255</v>
      </c>
      <c r="L5" s="24" t="s">
        <v>256</v>
      </c>
      <c r="M5" s="24" t="s">
        <v>261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1" t="s">
        <v>262</v>
      </c>
      <c r="B6" s="21" t="s">
        <v>263</v>
      </c>
      <c r="C6" s="21" t="s">
        <v>10</v>
      </c>
      <c r="D6" s="21" t="str">
        <f>IFERROR(IF('IP Input Sheet'!D5&lt;&gt;"",'IP Input Sheet'!D5,IF('IP Input Sheet'!E5&lt;&gt;"",'IP Input Sheet'!E5,'IP Input Sheet'!F5)),"[Enter IP]")</f>
        <v>10.5.25.86</v>
      </c>
      <c r="E6" s="21" t="s">
        <v>36</v>
      </c>
      <c r="F6" s="21" t="str">
        <f>IFERROR(IF('IP Input Sheet'!D13&lt;&gt;"",'IP Input Sheet'!D13,IF('IP Input Sheet'!E13&lt;&gt;"",'IP Input Sheet'!E13,'IP Input Sheet'!F13)),"[Enter IP]")</f>
        <v>10.3.118.18</v>
      </c>
      <c r="G6" s="21" t="s">
        <v>251</v>
      </c>
      <c r="H6" s="21" t="s">
        <v>252</v>
      </c>
      <c r="I6" s="21" t="s">
        <v>264</v>
      </c>
      <c r="J6" s="22" t="s">
        <v>254</v>
      </c>
      <c r="K6" s="23" t="s">
        <v>255</v>
      </c>
      <c r="L6" s="21" t="s">
        <v>256</v>
      </c>
      <c r="M6" s="2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4" t="s">
        <v>265</v>
      </c>
      <c r="B7" s="24" t="s">
        <v>266</v>
      </c>
      <c r="C7" s="24" t="s">
        <v>10</v>
      </c>
      <c r="D7" s="24" t="str">
        <f>IFERROR(IF('IP Input Sheet'!D5&lt;&gt;"",'IP Input Sheet'!D5,IF('IP Input Sheet'!E5&lt;&gt;"",'IP Input Sheet'!E5,'IP Input Sheet'!F5)),"[Enter IP]")</f>
        <v>10.5.25.86</v>
      </c>
      <c r="E7" s="24" t="s">
        <v>267</v>
      </c>
      <c r="F7" s="24" t="str">
        <f>IFERROR(IF('IP Input Sheet'!D14&lt;&gt;"",'IP Input Sheet'!D14,IF('IP Input Sheet'!E14&lt;&gt;"",'IP Input Sheet'!E14,'IP Input Sheet'!F14)),"[Enter IP]")</f>
        <v>10.3.118.0/24</v>
      </c>
      <c r="G7" s="24" t="s">
        <v>251</v>
      </c>
      <c r="H7" s="24" t="s">
        <v>252</v>
      </c>
      <c r="I7" s="24" t="s">
        <v>268</v>
      </c>
      <c r="J7" s="22" t="s">
        <v>254</v>
      </c>
      <c r="K7" s="23" t="s">
        <v>255</v>
      </c>
      <c r="L7" s="24" t="s">
        <v>256</v>
      </c>
      <c r="M7" s="2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1" t="s">
        <v>269</v>
      </c>
      <c r="B8" s="21" t="s">
        <v>270</v>
      </c>
      <c r="C8" s="21" t="s">
        <v>10</v>
      </c>
      <c r="D8" s="21" t="str">
        <f>IFERROR(IF('IP Input Sheet'!D5&lt;&gt;"",'IP Input Sheet'!D5,IF('IP Input Sheet'!E5&lt;&gt;"",'IP Input Sheet'!E5,'IP Input Sheet'!F5)),"[Enter IP]")</f>
        <v>10.5.25.86</v>
      </c>
      <c r="E8" s="21" t="s">
        <v>203</v>
      </c>
      <c r="F8" s="21" t="str">
        <f>'IP Input Sheet'!D60</f>
        <v/>
      </c>
      <c r="G8" s="21" t="s">
        <v>271</v>
      </c>
      <c r="H8" s="21" t="s">
        <v>272</v>
      </c>
      <c r="I8" s="21" t="s">
        <v>273</v>
      </c>
      <c r="J8" s="22" t="s">
        <v>254</v>
      </c>
      <c r="K8" s="23" t="s">
        <v>255</v>
      </c>
      <c r="L8" s="21" t="s">
        <v>261</v>
      </c>
      <c r="M8" s="21" t="s">
        <v>274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4" t="s">
        <v>275</v>
      </c>
      <c r="B9" s="24" t="s">
        <v>276</v>
      </c>
      <c r="C9" s="24" t="s">
        <v>10</v>
      </c>
      <c r="D9" s="24" t="str">
        <f>IFERROR(IF('IP Input Sheet'!D5&lt;&gt;"",'IP Input Sheet'!D5,IF('IP Input Sheet'!E5&lt;&gt;"",'IP Input Sheet'!E5,'IP Input Sheet'!F5)),"[Enter IP]")</f>
        <v>10.5.25.86</v>
      </c>
      <c r="E9" s="24" t="s">
        <v>207</v>
      </c>
      <c r="F9" s="24" t="str">
        <f>'IP Input Sheet'!D61</f>
        <v/>
      </c>
      <c r="G9" s="24" t="s">
        <v>277</v>
      </c>
      <c r="H9" s="24" t="s">
        <v>278</v>
      </c>
      <c r="I9" s="24" t="s">
        <v>279</v>
      </c>
      <c r="J9" s="22" t="s">
        <v>254</v>
      </c>
      <c r="K9" s="23" t="s">
        <v>255</v>
      </c>
      <c r="L9" s="24" t="s">
        <v>256</v>
      </c>
      <c r="M9" s="2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1" t="s">
        <v>280</v>
      </c>
      <c r="B10" s="21" t="s">
        <v>281</v>
      </c>
      <c r="C10" s="21" t="s">
        <v>10</v>
      </c>
      <c r="D10" s="21" t="str">
        <f>IFERROR(IF('IP Input Sheet'!D5&lt;&gt;"",'IP Input Sheet'!D5,IF('IP Input Sheet'!E5&lt;&gt;"",'IP Input Sheet'!E5,'IP Input Sheet'!F5)),"[Enter IP]")</f>
        <v>10.5.25.86</v>
      </c>
      <c r="E10" s="21" t="s">
        <v>282</v>
      </c>
      <c r="F10" s="21" t="str">
        <f>IFERROR(IF('IP Input Sheet'!D54&lt;&gt;"",'IP Input Sheet'!D54,IF('IP Input Sheet'!E54&lt;&gt;"",'IP Input Sheet'!E54,'IP Input Sheet'!F54)),"[Enter IP]")</f>
        <v>10.3.118.0/24</v>
      </c>
      <c r="G10" s="21" t="s">
        <v>251</v>
      </c>
      <c r="H10" s="21" t="s">
        <v>252</v>
      </c>
      <c r="I10" s="21" t="s">
        <v>283</v>
      </c>
      <c r="J10" s="22" t="s">
        <v>254</v>
      </c>
      <c r="K10" s="23" t="s">
        <v>255</v>
      </c>
      <c r="L10" s="21" t="s">
        <v>256</v>
      </c>
      <c r="M10" s="2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4" t="s">
        <v>284</v>
      </c>
      <c r="B11" s="24" t="s">
        <v>285</v>
      </c>
      <c r="C11" s="24" t="s">
        <v>10</v>
      </c>
      <c r="D11" s="24" t="str">
        <f>IFERROR(IF('IP Input Sheet'!D5&lt;&gt;"",'IP Input Sheet'!D5,IF('IP Input Sheet'!E5&lt;&gt;"",'IP Input Sheet'!E5,'IP Input Sheet'!F5)),"[Enter IP]")</f>
        <v>10.5.25.86</v>
      </c>
      <c r="E11" s="24" t="s">
        <v>286</v>
      </c>
      <c r="F11" s="24" t="str">
        <f>IFERROR(IF('IP Input Sheet'!D7&lt;&gt;"",'IP Input Sheet'!D7,IF('IP Input Sheet'!E7&lt;&gt;"",'IP Input Sheet'!E7,'IP Input Sheet'!F7)),"[Enter IP]")</f>
        <v>10.5.25.64/26</v>
      </c>
      <c r="G11" s="24" t="s">
        <v>287</v>
      </c>
      <c r="H11" s="24" t="s">
        <v>252</v>
      </c>
      <c r="I11" s="24" t="s">
        <v>288</v>
      </c>
      <c r="J11" s="22" t="s">
        <v>254</v>
      </c>
      <c r="K11" s="23" t="s">
        <v>255</v>
      </c>
      <c r="L11" s="24" t="s">
        <v>256</v>
      </c>
      <c r="M11" s="24" t="s">
        <v>289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1" t="s">
        <v>290</v>
      </c>
      <c r="B12" s="21" t="s">
        <v>291</v>
      </c>
      <c r="C12" s="21" t="s">
        <v>10</v>
      </c>
      <c r="D12" s="21" t="str">
        <f>IFERROR(IF('IP Input Sheet'!D5&lt;&gt;"",'IP Input Sheet'!D5,IF('IP Input Sheet'!E5&lt;&gt;"",'IP Input Sheet'!E5,'IP Input Sheet'!F5)),"[Enter IP]")</f>
        <v>10.5.25.86</v>
      </c>
      <c r="E12" s="21" t="s">
        <v>292</v>
      </c>
      <c r="F12" s="21" t="str">
        <f>IFERROR(IF('IP Input Sheet'!D7&lt;&gt;"",'IP Input Sheet'!D7,IF('IP Input Sheet'!E7&lt;&gt;"",'IP Input Sheet'!E7,'IP Input Sheet'!F7)),"[Enter IP]")</f>
        <v>10.5.25.64/26</v>
      </c>
      <c r="G12" s="21" t="s">
        <v>293</v>
      </c>
      <c r="H12" s="21" t="s">
        <v>252</v>
      </c>
      <c r="I12" s="21" t="s">
        <v>294</v>
      </c>
      <c r="J12" s="22" t="s">
        <v>254</v>
      </c>
      <c r="K12" s="23" t="s">
        <v>255</v>
      </c>
      <c r="L12" s="21" t="s">
        <v>256</v>
      </c>
      <c r="M12" s="2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4" t="s">
        <v>295</v>
      </c>
      <c r="B13" s="24" t="s">
        <v>296</v>
      </c>
      <c r="C13" s="24" t="s">
        <v>10</v>
      </c>
      <c r="D13" s="24" t="str">
        <f>IFERROR(IF('IP Input Sheet'!D5&lt;&gt;"",'IP Input Sheet'!D5,IF('IP Input Sheet'!E5&lt;&gt;"",'IP Input Sheet'!E5,'IP Input Sheet'!F5)),"[Enter IP]")</f>
        <v>10.5.25.86</v>
      </c>
      <c r="E13" s="24" t="s">
        <v>292</v>
      </c>
      <c r="F13" s="24" t="str">
        <f>IFERROR(IF('IP Input Sheet'!D7&lt;&gt;"",'IP Input Sheet'!D7,IF('IP Input Sheet'!E7&lt;&gt;"",'IP Input Sheet'!E7,'IP Input Sheet'!F7)),"[Enter IP]")</f>
        <v>10.5.25.64/26</v>
      </c>
      <c r="G13" s="24" t="s">
        <v>297</v>
      </c>
      <c r="H13" s="24" t="s">
        <v>252</v>
      </c>
      <c r="I13" s="24" t="s">
        <v>298</v>
      </c>
      <c r="J13" s="22" t="s">
        <v>254</v>
      </c>
      <c r="K13" s="23" t="s">
        <v>255</v>
      </c>
      <c r="L13" s="24" t="s">
        <v>256</v>
      </c>
      <c r="M13" s="2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1" t="s">
        <v>299</v>
      </c>
      <c r="B14" s="21" t="s">
        <v>300</v>
      </c>
      <c r="C14" s="21" t="s">
        <v>10</v>
      </c>
      <c r="D14" s="21" t="str">
        <f>IFERROR(IF('IP Input Sheet'!D5&lt;&gt;"",'IP Input Sheet'!D5,IF('IP Input Sheet'!E5&lt;&gt;"",'IP Input Sheet'!E5,'IP Input Sheet'!F5)),"[Enter IP]")</f>
        <v>10.5.25.86</v>
      </c>
      <c r="E14" s="21" t="s">
        <v>292</v>
      </c>
      <c r="F14" s="21" t="str">
        <f>IFERROR(IF('IP Input Sheet'!D7&lt;&gt;"",'IP Input Sheet'!D7,IF('IP Input Sheet'!E7&lt;&gt;"",'IP Input Sheet'!E7,'IP Input Sheet'!F7)),"[Enter IP]")</f>
        <v>10.5.25.64/26</v>
      </c>
      <c r="G14" s="21" t="s">
        <v>301</v>
      </c>
      <c r="H14" s="21" t="s">
        <v>252</v>
      </c>
      <c r="I14" s="21" t="s">
        <v>302</v>
      </c>
      <c r="J14" s="22" t="s">
        <v>254</v>
      </c>
      <c r="K14" s="23" t="s">
        <v>255</v>
      </c>
      <c r="L14" s="21" t="s">
        <v>256</v>
      </c>
      <c r="M14" s="2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4" t="s">
        <v>303</v>
      </c>
      <c r="B15" s="24" t="s">
        <v>304</v>
      </c>
      <c r="C15" s="24" t="s">
        <v>10</v>
      </c>
      <c r="D15" s="24" t="str">
        <f>IFERROR(IF('IP Input Sheet'!D5&lt;&gt;"",'IP Input Sheet'!D5,IF('IP Input Sheet'!E5&lt;&gt;"",'IP Input Sheet'!E5,'IP Input Sheet'!F5)),"[Enter IP]")</f>
        <v>10.5.25.86</v>
      </c>
      <c r="E15" s="24" t="s">
        <v>292</v>
      </c>
      <c r="F15" s="24" t="str">
        <f>IFERROR(IF('IP Input Sheet'!D7&lt;&gt;"",'IP Input Sheet'!D7,IF('IP Input Sheet'!E7&lt;&gt;"",'IP Input Sheet'!E7,'IP Input Sheet'!F7)),"[Enter IP]")</f>
        <v>10.5.25.64/26</v>
      </c>
      <c r="G15" s="24" t="s">
        <v>305</v>
      </c>
      <c r="H15" s="24" t="s">
        <v>252</v>
      </c>
      <c r="I15" s="24" t="s">
        <v>306</v>
      </c>
      <c r="J15" s="22" t="s">
        <v>254</v>
      </c>
      <c r="K15" s="23" t="s">
        <v>255</v>
      </c>
      <c r="L15" s="24" t="s">
        <v>256</v>
      </c>
      <c r="M15" s="2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1" t="s">
        <v>307</v>
      </c>
      <c r="B16" s="21" t="s">
        <v>308</v>
      </c>
      <c r="C16" s="21" t="s">
        <v>10</v>
      </c>
      <c r="D16" s="21" t="str">
        <f>IFERROR(IF('IP Input Sheet'!D5&lt;&gt;"",'IP Input Sheet'!D5,IF('IP Input Sheet'!E5&lt;&gt;"",'IP Input Sheet'!E5,'IP Input Sheet'!F5)),"[Enter IP]")</f>
        <v>10.5.25.86</v>
      </c>
      <c r="E16" s="21" t="s">
        <v>292</v>
      </c>
      <c r="F16" s="21" t="str">
        <f>IFERROR(IF('IP Input Sheet'!D7&lt;&gt;"",'IP Input Sheet'!D7,IF('IP Input Sheet'!E7&lt;&gt;"",'IP Input Sheet'!E7,'IP Input Sheet'!F7)),"[Enter IP]")</f>
        <v>10.5.25.64/26</v>
      </c>
      <c r="G16" s="21" t="s">
        <v>309</v>
      </c>
      <c r="H16" s="21" t="s">
        <v>252</v>
      </c>
      <c r="I16" s="21" t="s">
        <v>306</v>
      </c>
      <c r="J16" s="22" t="s">
        <v>254</v>
      </c>
      <c r="K16" s="23" t="s">
        <v>255</v>
      </c>
      <c r="L16" s="21" t="s">
        <v>256</v>
      </c>
      <c r="M16" s="2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4" t="s">
        <v>310</v>
      </c>
      <c r="B17" s="24" t="s">
        <v>311</v>
      </c>
      <c r="C17" s="24" t="s">
        <v>10</v>
      </c>
      <c r="D17" s="24" t="str">
        <f>IFERROR(IF('IP Input Sheet'!D5&lt;&gt;"",'IP Input Sheet'!D5,IF('IP Input Sheet'!E5&lt;&gt;"",'IP Input Sheet'!E5,'IP Input Sheet'!F5)),"[Enter IP]")</f>
        <v>10.5.25.86</v>
      </c>
      <c r="E17" s="24" t="s">
        <v>286</v>
      </c>
      <c r="F17" s="24" t="str">
        <f>IFERROR(IF('IP Input Sheet'!D7&lt;&gt;"",'IP Input Sheet'!D7,IF('IP Input Sheet'!E7&lt;&gt;"",'IP Input Sheet'!E7,'IP Input Sheet'!F7)),"[Enter IP]")</f>
        <v>10.5.25.64/26</v>
      </c>
      <c r="G17" s="24" t="s">
        <v>312</v>
      </c>
      <c r="H17" s="24" t="s">
        <v>252</v>
      </c>
      <c r="I17" s="24" t="s">
        <v>313</v>
      </c>
      <c r="J17" s="22" t="s">
        <v>254</v>
      </c>
      <c r="K17" s="23" t="s">
        <v>255</v>
      </c>
      <c r="L17" s="24" t="s">
        <v>256</v>
      </c>
      <c r="M17" s="2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1" t="s">
        <v>314</v>
      </c>
      <c r="B18" s="21" t="s">
        <v>315</v>
      </c>
      <c r="C18" s="21" t="s">
        <v>14</v>
      </c>
      <c r="D18" s="21" t="str">
        <f>IFERROR(IF('IP Input Sheet'!D6&lt;&gt;"",'IP Input Sheet'!D6,IF('IP Input Sheet'!E6&lt;&gt;"",'IP Input Sheet'!E6,'IP Input Sheet'!F6)),"[Enter IP]")</f>
        <v>10.5.25.64/26</v>
      </c>
      <c r="E18" s="21" t="s">
        <v>207</v>
      </c>
      <c r="F18" s="21" t="str">
        <f>'IP Input Sheet'!D61</f>
        <v/>
      </c>
      <c r="G18" s="21" t="s">
        <v>277</v>
      </c>
      <c r="H18" s="21" t="s">
        <v>278</v>
      </c>
      <c r="I18" s="21" t="s">
        <v>316</v>
      </c>
      <c r="J18" s="22" t="s">
        <v>254</v>
      </c>
      <c r="K18" s="23" t="s">
        <v>255</v>
      </c>
      <c r="L18" s="21" t="s">
        <v>256</v>
      </c>
      <c r="M18" s="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4" t="s">
        <v>317</v>
      </c>
      <c r="B19" s="24" t="s">
        <v>318</v>
      </c>
      <c r="C19" s="24" t="s">
        <v>14</v>
      </c>
      <c r="D19" s="24" t="str">
        <f>IFERROR(IF('IP Input Sheet'!D6&lt;&gt;"",'IP Input Sheet'!D6,IF('IP Input Sheet'!E6&lt;&gt;"",'IP Input Sheet'!E6,'IP Input Sheet'!F6)),"[Enter IP]")</f>
        <v>10.5.25.64/26</v>
      </c>
      <c r="E19" s="24" t="s">
        <v>203</v>
      </c>
      <c r="F19" s="24" t="str">
        <f>'IP Input Sheet'!D60</f>
        <v/>
      </c>
      <c r="G19" s="24" t="s">
        <v>271</v>
      </c>
      <c r="H19" s="24" t="s">
        <v>272</v>
      </c>
      <c r="I19" s="24" t="s">
        <v>319</v>
      </c>
      <c r="J19" s="22" t="s">
        <v>254</v>
      </c>
      <c r="K19" s="23" t="s">
        <v>255</v>
      </c>
      <c r="L19" s="24" t="s">
        <v>256</v>
      </c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1" t="s">
        <v>320</v>
      </c>
      <c r="B20" s="21" t="s">
        <v>321</v>
      </c>
      <c r="C20" s="21" t="s">
        <v>14</v>
      </c>
      <c r="D20" s="21" t="str">
        <f>IFERROR(IF('IP Input Sheet'!D6&lt;&gt;"",'IP Input Sheet'!D6,IF('IP Input Sheet'!E6&lt;&gt;"",'IP Input Sheet'!E6,'IP Input Sheet'!F6)),"[Enter IP]")</f>
        <v>10.5.25.64/26</v>
      </c>
      <c r="E20" s="21" t="s">
        <v>322</v>
      </c>
      <c r="F20" s="21"/>
      <c r="G20" s="21" t="s">
        <v>323</v>
      </c>
      <c r="H20" s="21" t="s">
        <v>252</v>
      </c>
      <c r="I20" s="21" t="s">
        <v>324</v>
      </c>
      <c r="J20" s="22" t="s">
        <v>254</v>
      </c>
      <c r="K20" s="23" t="s">
        <v>255</v>
      </c>
      <c r="L20" s="21" t="s">
        <v>256</v>
      </c>
      <c r="M20" s="2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4" t="s">
        <v>325</v>
      </c>
      <c r="B21" s="24" t="s">
        <v>326</v>
      </c>
      <c r="C21" s="24" t="s">
        <v>14</v>
      </c>
      <c r="D21" s="24" t="str">
        <f>IFERROR(IF('IP Input Sheet'!D6&lt;&gt;"",'IP Input Sheet'!D6,IF('IP Input Sheet'!E6&lt;&gt;"",'IP Input Sheet'!E6,'IP Input Sheet'!F6)),"[Enter IP]")</f>
        <v>10.5.25.64/26</v>
      </c>
      <c r="E21" s="24" t="s">
        <v>322</v>
      </c>
      <c r="F21" s="24"/>
      <c r="G21" s="24" t="s">
        <v>327</v>
      </c>
      <c r="H21" s="24" t="s">
        <v>252</v>
      </c>
      <c r="I21" s="24" t="s">
        <v>328</v>
      </c>
      <c r="J21" s="22" t="s">
        <v>254</v>
      </c>
      <c r="K21" s="23" t="s">
        <v>255</v>
      </c>
      <c r="L21" s="24" t="s">
        <v>256</v>
      </c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1" t="s">
        <v>329</v>
      </c>
      <c r="B22" s="21" t="s">
        <v>330</v>
      </c>
      <c r="C22" s="21" t="s">
        <v>14</v>
      </c>
      <c r="D22" s="21" t="str">
        <f>IFERROR(IF('IP Input Sheet'!D6&lt;&gt;"",'IP Input Sheet'!D6,IF('IP Input Sheet'!E6&lt;&gt;"",'IP Input Sheet'!E6,'IP Input Sheet'!F6)),"[Enter IP]")</f>
        <v>10.5.25.64/26</v>
      </c>
      <c r="E22" s="21" t="s">
        <v>322</v>
      </c>
      <c r="F22" s="21"/>
      <c r="G22" s="21" t="s">
        <v>331</v>
      </c>
      <c r="H22" s="21" t="s">
        <v>252</v>
      </c>
      <c r="I22" s="21" t="s">
        <v>332</v>
      </c>
      <c r="J22" s="22" t="s">
        <v>254</v>
      </c>
      <c r="K22" s="23" t="s">
        <v>255</v>
      </c>
      <c r="L22" s="21" t="s">
        <v>256</v>
      </c>
      <c r="M22" s="2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4" t="s">
        <v>333</v>
      </c>
      <c r="B23" s="24" t="s">
        <v>334</v>
      </c>
      <c r="C23" s="24" t="s">
        <v>14</v>
      </c>
      <c r="D23" s="24" t="str">
        <f>IFERROR(IF('IP Input Sheet'!D6&lt;&gt;"",'IP Input Sheet'!D6,IF('IP Input Sheet'!E6&lt;&gt;"",'IP Input Sheet'!E6,'IP Input Sheet'!F6)),"[Enter IP]")</f>
        <v>10.5.25.64/26</v>
      </c>
      <c r="E23" s="24" t="s">
        <v>335</v>
      </c>
      <c r="F23" s="24" t="str">
        <f>IF('IP Input Sheet'!$D$64&lt;&gt;"",'IP Input Sheet'!$D$64,IF('IP Input Sheet'!$E$64&lt;&gt;"",'IP Input Sheet'!$E$64,'IP Input Sheet'!$F$64))</f>
        <v>N/A — shared</v>
      </c>
      <c r="G23" s="24" t="s">
        <v>287</v>
      </c>
      <c r="H23" s="24" t="s">
        <v>252</v>
      </c>
      <c r="I23" s="24" t="s">
        <v>336</v>
      </c>
      <c r="J23" s="22" t="s">
        <v>254</v>
      </c>
      <c r="K23" s="23" t="s">
        <v>255</v>
      </c>
      <c r="L23" s="24" t="s">
        <v>256</v>
      </c>
      <c r="M23" s="25" t="s">
        <v>337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1" t="s">
        <v>338</v>
      </c>
      <c r="B24" s="21" t="s">
        <v>339</v>
      </c>
      <c r="C24" s="21" t="s">
        <v>14</v>
      </c>
      <c r="D24" s="21" t="str">
        <f>IFERROR(IF('IP Input Sheet'!D6&lt;&gt;"",'IP Input Sheet'!D6,IF('IP Input Sheet'!E6&lt;&gt;"",'IP Input Sheet'!E6,'IP Input Sheet'!F6)),"[Enter IP]")</f>
        <v>10.5.25.64/26</v>
      </c>
      <c r="E24" s="21" t="s">
        <v>36</v>
      </c>
      <c r="F24" s="21" t="str">
        <f>IFERROR(IF('IP Input Sheet'!D13&lt;&gt;"",'IP Input Sheet'!D13,IF('IP Input Sheet'!E13&lt;&gt;"",'IP Input Sheet'!E13,'IP Input Sheet'!F13)),"[Enter IP]")</f>
        <v>10.3.118.18</v>
      </c>
      <c r="G24" s="21" t="s">
        <v>340</v>
      </c>
      <c r="H24" s="21" t="s">
        <v>252</v>
      </c>
      <c r="I24" s="21" t="s">
        <v>341</v>
      </c>
      <c r="J24" s="22" t="s">
        <v>254</v>
      </c>
      <c r="K24" s="23" t="s">
        <v>255</v>
      </c>
      <c r="L24" s="21" t="s">
        <v>256</v>
      </c>
      <c r="M24" s="2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4" t="s">
        <v>342</v>
      </c>
      <c r="B25" s="24" t="s">
        <v>343</v>
      </c>
      <c r="C25" s="24" t="s">
        <v>14</v>
      </c>
      <c r="D25" s="24" t="str">
        <f>IFERROR(IF('IP Input Sheet'!D6&lt;&gt;"",'IP Input Sheet'!D6,IF('IP Input Sheet'!E6&lt;&gt;"",'IP Input Sheet'!E6,'IP Input Sheet'!F6)),"[Enter IP]")</f>
        <v>10.5.25.64/26</v>
      </c>
      <c r="E25" s="24" t="s">
        <v>36</v>
      </c>
      <c r="F25" s="24" t="str">
        <f>IFERROR(IF('IP Input Sheet'!D13&lt;&gt;"",'IP Input Sheet'!D13,IF('IP Input Sheet'!E13&lt;&gt;"",'IP Input Sheet'!E13,'IP Input Sheet'!F13)),"[Enter IP]")</f>
        <v>10.3.118.18</v>
      </c>
      <c r="G25" s="24" t="s">
        <v>251</v>
      </c>
      <c r="H25" s="24" t="s">
        <v>252</v>
      </c>
      <c r="I25" s="24" t="s">
        <v>344</v>
      </c>
      <c r="J25" s="22" t="s">
        <v>254</v>
      </c>
      <c r="K25" s="23" t="s">
        <v>255</v>
      </c>
      <c r="L25" s="24" t="s">
        <v>256</v>
      </c>
      <c r="M25" s="2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1" t="s">
        <v>345</v>
      </c>
      <c r="B26" s="21" t="s">
        <v>346</v>
      </c>
      <c r="C26" s="21" t="s">
        <v>14</v>
      </c>
      <c r="D26" s="21" t="str">
        <f>IFERROR(IF('IP Input Sheet'!D6&lt;&gt;"",'IP Input Sheet'!D6,IF('IP Input Sheet'!E6&lt;&gt;"",'IP Input Sheet'!E6,'IP Input Sheet'!F6)),"[Enter IP]")</f>
        <v>10.5.25.64/26</v>
      </c>
      <c r="E26" s="21" t="s">
        <v>282</v>
      </c>
      <c r="F26" s="21" t="str">
        <f>IFERROR(IF('IP Input Sheet'!D54&lt;&gt;"",'IP Input Sheet'!D54,IF('IP Input Sheet'!E54&lt;&gt;"",'IP Input Sheet'!E54,'IP Input Sheet'!F54)),"[Enter IP]")</f>
        <v>10.3.118.0/24</v>
      </c>
      <c r="G26" s="21" t="s">
        <v>251</v>
      </c>
      <c r="H26" s="21" t="s">
        <v>252</v>
      </c>
      <c r="I26" s="21" t="s">
        <v>347</v>
      </c>
      <c r="J26" s="22" t="s">
        <v>254</v>
      </c>
      <c r="K26" s="23" t="s">
        <v>255</v>
      </c>
      <c r="L26" s="21" t="s">
        <v>256</v>
      </c>
      <c r="M26" s="2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4" t="s">
        <v>348</v>
      </c>
      <c r="B27" s="24" t="s">
        <v>349</v>
      </c>
      <c r="C27" s="24" t="s">
        <v>14</v>
      </c>
      <c r="D27" s="24" t="str">
        <f>IFERROR(IF('IP Input Sheet'!D6&lt;&gt;"",'IP Input Sheet'!D6,IF('IP Input Sheet'!E6&lt;&gt;"",'IP Input Sheet'!E6,'IP Input Sheet'!F6)),"[Enter IP]")</f>
        <v>10.5.25.64/26</v>
      </c>
      <c r="E27" s="24" t="s">
        <v>267</v>
      </c>
      <c r="F27" s="24" t="str">
        <f>IFERROR(IF('IP Input Sheet'!D14&lt;&gt;"",'IP Input Sheet'!D14,IF('IP Input Sheet'!E14&lt;&gt;"",'IP Input Sheet'!E14,'IP Input Sheet'!F14)),"[Enter IP]")</f>
        <v>10.3.118.0/24</v>
      </c>
      <c r="G27" s="24" t="s">
        <v>251</v>
      </c>
      <c r="H27" s="24" t="s">
        <v>252</v>
      </c>
      <c r="I27" s="24" t="s">
        <v>350</v>
      </c>
      <c r="J27" s="22" t="s">
        <v>254</v>
      </c>
      <c r="K27" s="23" t="s">
        <v>255</v>
      </c>
      <c r="L27" s="24" t="s">
        <v>256</v>
      </c>
      <c r="M27" s="2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1" t="s">
        <v>351</v>
      </c>
      <c r="B28" s="21" t="s">
        <v>352</v>
      </c>
      <c r="C28" s="21" t="s">
        <v>18</v>
      </c>
      <c r="D28" s="21" t="str">
        <f>IFERROR(IF('IP Input Sheet'!D7&lt;&gt;"",'IP Input Sheet'!D7,IF('IP Input Sheet'!E7&lt;&gt;"",'IP Input Sheet'!E7,'IP Input Sheet'!F7)),"[Enter IP]")</f>
        <v>10.5.25.64/26</v>
      </c>
      <c r="E28" s="21" t="s">
        <v>36</v>
      </c>
      <c r="F28" s="21" t="str">
        <f>IFERROR(IF('IP Input Sheet'!D13&lt;&gt;"",'IP Input Sheet'!D13,IF('IP Input Sheet'!E13&lt;&gt;"",'IP Input Sheet'!E13,'IP Input Sheet'!F13)),"[Enter IP]")</f>
        <v>10.3.118.18</v>
      </c>
      <c r="G28" s="21" t="s">
        <v>251</v>
      </c>
      <c r="H28" s="21" t="s">
        <v>252</v>
      </c>
      <c r="I28" s="21" t="s">
        <v>353</v>
      </c>
      <c r="J28" s="22" t="s">
        <v>254</v>
      </c>
      <c r="K28" s="23" t="s">
        <v>255</v>
      </c>
      <c r="L28" s="21" t="s">
        <v>261</v>
      </c>
      <c r="M28" s="2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4" t="s">
        <v>354</v>
      </c>
      <c r="B29" s="24" t="s">
        <v>355</v>
      </c>
      <c r="C29" s="24" t="s">
        <v>18</v>
      </c>
      <c r="D29" s="24" t="str">
        <f>IFERROR(IF('IP Input Sheet'!D7&lt;&gt;"",'IP Input Sheet'!D7,IF('IP Input Sheet'!E7&lt;&gt;"",'IP Input Sheet'!E7,'IP Input Sheet'!F7)),"[Enter IP]")</f>
        <v>10.5.25.64/26</v>
      </c>
      <c r="E29" s="24" t="s">
        <v>282</v>
      </c>
      <c r="F29" s="24" t="str">
        <f>IFERROR(IF('IP Input Sheet'!D54&lt;&gt;"",'IP Input Sheet'!D54,IF('IP Input Sheet'!E54&lt;&gt;"",'IP Input Sheet'!E54,'IP Input Sheet'!F54)),"[Enter IP]")</f>
        <v>10.3.118.0/24</v>
      </c>
      <c r="G29" s="24" t="s">
        <v>356</v>
      </c>
      <c r="H29" s="24" t="s">
        <v>252</v>
      </c>
      <c r="I29" s="24" t="s">
        <v>357</v>
      </c>
      <c r="J29" s="22" t="s">
        <v>254</v>
      </c>
      <c r="K29" s="23" t="s">
        <v>255</v>
      </c>
      <c r="L29" s="24" t="s">
        <v>256</v>
      </c>
      <c r="M29" s="2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1" t="s">
        <v>358</v>
      </c>
      <c r="B30" s="21" t="s">
        <v>359</v>
      </c>
      <c r="C30" s="21" t="s">
        <v>18</v>
      </c>
      <c r="D30" s="21" t="str">
        <f>IFERROR(IF('IP Input Sheet'!D7&lt;&gt;"",'IP Input Sheet'!D7,IF('IP Input Sheet'!E7&lt;&gt;"",'IP Input Sheet'!E7,'IP Input Sheet'!F7)),"[Enter IP]")</f>
        <v>10.5.25.64/26</v>
      </c>
      <c r="E30" s="21" t="s">
        <v>282</v>
      </c>
      <c r="F30" s="21" t="str">
        <f>IFERROR(IF('IP Input Sheet'!D54&lt;&gt;"",'IP Input Sheet'!D54,IF('IP Input Sheet'!E54&lt;&gt;"",'IP Input Sheet'!E54,'IP Input Sheet'!F54)),"[Enter IP]")</f>
        <v>10.3.118.0/24</v>
      </c>
      <c r="G30" s="21" t="s">
        <v>251</v>
      </c>
      <c r="H30" s="21" t="s">
        <v>252</v>
      </c>
      <c r="I30" s="21" t="s">
        <v>360</v>
      </c>
      <c r="J30" s="22" t="s">
        <v>254</v>
      </c>
      <c r="K30" s="23" t="s">
        <v>255</v>
      </c>
      <c r="L30" s="21" t="s">
        <v>261</v>
      </c>
      <c r="M30" s="2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4" t="s">
        <v>361</v>
      </c>
      <c r="B31" s="24" t="s">
        <v>362</v>
      </c>
      <c r="C31" s="24" t="s">
        <v>18</v>
      </c>
      <c r="D31" s="24" t="str">
        <f>IFERROR(IF('IP Input Sheet'!D7&lt;&gt;"",'IP Input Sheet'!D7,IF('IP Input Sheet'!E7&lt;&gt;"",'IP Input Sheet'!E7,'IP Input Sheet'!F7)),"[Enter IP]")</f>
        <v>10.5.25.64/26</v>
      </c>
      <c r="E31" s="24" t="s">
        <v>282</v>
      </c>
      <c r="F31" s="24" t="str">
        <f>IFERROR(IF('IP Input Sheet'!D54&lt;&gt;"",'IP Input Sheet'!D54,IF('IP Input Sheet'!E54&lt;&gt;"",'IP Input Sheet'!E54,'IP Input Sheet'!F54)),"[Enter IP]")</f>
        <v>10.3.118.0/24</v>
      </c>
      <c r="G31" s="24" t="s">
        <v>287</v>
      </c>
      <c r="H31" s="24" t="s">
        <v>252</v>
      </c>
      <c r="I31" s="24" t="s">
        <v>363</v>
      </c>
      <c r="J31" s="22" t="s">
        <v>254</v>
      </c>
      <c r="K31" s="23" t="s">
        <v>255</v>
      </c>
      <c r="L31" s="24" t="s">
        <v>261</v>
      </c>
      <c r="M31" s="24" t="s">
        <v>364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1" t="s">
        <v>365</v>
      </c>
      <c r="B32" s="21" t="s">
        <v>366</v>
      </c>
      <c r="C32" s="21" t="s">
        <v>18</v>
      </c>
      <c r="D32" s="21" t="str">
        <f>IFERROR(IF('IP Input Sheet'!D7&lt;&gt;"",'IP Input Sheet'!D7,IF('IP Input Sheet'!E7&lt;&gt;"",'IP Input Sheet'!E7,'IP Input Sheet'!F7)),"[Enter IP]")</f>
        <v>10.5.25.64/26</v>
      </c>
      <c r="E32" s="21" t="s">
        <v>367</v>
      </c>
      <c r="F32" s="21" t="str">
        <f>IFERROR(IF('IP Input Sheet'!D14&lt;&gt;"",'IP Input Sheet'!D14,IF('IP Input Sheet'!E14&lt;&gt;"",'IP Input Sheet'!E14,'IP Input Sheet'!F14)),"[Enter IP]")</f>
        <v>10.3.118.0/24</v>
      </c>
      <c r="G32" s="21" t="s">
        <v>251</v>
      </c>
      <c r="H32" s="21" t="s">
        <v>252</v>
      </c>
      <c r="I32" s="21" t="s">
        <v>368</v>
      </c>
      <c r="J32" s="22" t="s">
        <v>254</v>
      </c>
      <c r="K32" s="23" t="s">
        <v>255</v>
      </c>
      <c r="L32" s="21" t="s">
        <v>261</v>
      </c>
      <c r="M32" s="2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4" t="s">
        <v>369</v>
      </c>
      <c r="B33" s="24" t="s">
        <v>370</v>
      </c>
      <c r="C33" s="24" t="s">
        <v>18</v>
      </c>
      <c r="D33" s="24" t="str">
        <f>IFERROR(IF('IP Input Sheet'!D7&lt;&gt;"",'IP Input Sheet'!D7,IF('IP Input Sheet'!E7&lt;&gt;"",'IP Input Sheet'!E7,'IP Input Sheet'!F7)),"[Enter IP]")</f>
        <v>10.5.25.64/26</v>
      </c>
      <c r="E33" s="24" t="s">
        <v>371</v>
      </c>
      <c r="F33" s="24" t="str">
        <f>IFERROR(IF('IP Input Sheet'!D13&lt;&gt;"",'IP Input Sheet'!D13,IF('IP Input Sheet'!E13&lt;&gt;"",'IP Input Sheet'!E13,'IP Input Sheet'!F13)),"[Enter IP]")</f>
        <v>10.3.118.18</v>
      </c>
      <c r="G33" s="24" t="s">
        <v>251</v>
      </c>
      <c r="H33" s="24" t="s">
        <v>252</v>
      </c>
      <c r="I33" s="24" t="s">
        <v>372</v>
      </c>
      <c r="J33" s="22" t="s">
        <v>254</v>
      </c>
      <c r="K33" s="23" t="s">
        <v>255</v>
      </c>
      <c r="L33" s="24" t="s">
        <v>256</v>
      </c>
      <c r="M33" s="24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1" t="s">
        <v>373</v>
      </c>
      <c r="B34" s="21" t="s">
        <v>374</v>
      </c>
      <c r="C34" s="21" t="s">
        <v>18</v>
      </c>
      <c r="D34" s="21" t="str">
        <f>IFERROR(IF('IP Input Sheet'!D7&lt;&gt;"",'IP Input Sheet'!D7,IF('IP Input Sheet'!E7&lt;&gt;"",'IP Input Sheet'!E7,'IP Input Sheet'!F7)),"[Enter IP]")</f>
        <v>10.5.25.64/26</v>
      </c>
      <c r="E34" s="21" t="s">
        <v>371</v>
      </c>
      <c r="F34" s="21" t="str">
        <f>IFERROR(IF('IP Input Sheet'!D13&lt;&gt;"",'IP Input Sheet'!D13,IF('IP Input Sheet'!E13&lt;&gt;"",'IP Input Sheet'!E13,'IP Input Sheet'!F13)),"[Enter IP]")</f>
        <v>10.3.118.18</v>
      </c>
      <c r="G34" s="21" t="s">
        <v>293</v>
      </c>
      <c r="H34" s="21" t="s">
        <v>252</v>
      </c>
      <c r="I34" s="21" t="s">
        <v>375</v>
      </c>
      <c r="J34" s="22" t="s">
        <v>254</v>
      </c>
      <c r="K34" s="23" t="s">
        <v>255</v>
      </c>
      <c r="L34" s="21" t="s">
        <v>256</v>
      </c>
      <c r="M34" s="2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4" t="s">
        <v>376</v>
      </c>
      <c r="B35" s="24" t="s">
        <v>377</v>
      </c>
      <c r="C35" s="24" t="s">
        <v>378</v>
      </c>
      <c r="D35" s="24" t="str">
        <f>IFERROR(IF('IP Input Sheet'!D9&lt;&gt;"",'IP Input Sheet'!D9,IF('IP Input Sheet'!E9&lt;&gt;"",'IP Input Sheet'!E9,'IP Input Sheet'!F9)),"[Enter IP]")</f>
        <v>10.5.25.64/26</v>
      </c>
      <c r="E35" s="24" t="s">
        <v>36</v>
      </c>
      <c r="F35" s="24" t="str">
        <f>IFERROR(IF('IP Input Sheet'!D13&lt;&gt;"",'IP Input Sheet'!D13,IF('IP Input Sheet'!E13&lt;&gt;"",'IP Input Sheet'!E13,'IP Input Sheet'!F13)),"[Enter IP]")</f>
        <v>10.3.118.18</v>
      </c>
      <c r="G35" s="24" t="s">
        <v>379</v>
      </c>
      <c r="H35" s="24" t="s">
        <v>252</v>
      </c>
      <c r="I35" s="24" t="s">
        <v>380</v>
      </c>
      <c r="J35" s="22" t="s">
        <v>254</v>
      </c>
      <c r="K35" s="23" t="s">
        <v>255</v>
      </c>
      <c r="L35" s="24" t="s">
        <v>256</v>
      </c>
      <c r="M35" s="24" t="s">
        <v>381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1" t="s">
        <v>382</v>
      </c>
      <c r="B36" s="21" t="s">
        <v>383</v>
      </c>
      <c r="C36" s="21" t="s">
        <v>378</v>
      </c>
      <c r="D36" s="21" t="str">
        <f>IFERROR(IF('IP Input Sheet'!D9&lt;&gt;"",'IP Input Sheet'!D9,IF('IP Input Sheet'!E9&lt;&gt;"",'IP Input Sheet'!E9,'IP Input Sheet'!F9)),"[Enter IP]")</f>
        <v>10.5.25.64/26</v>
      </c>
      <c r="E36" s="21" t="s">
        <v>282</v>
      </c>
      <c r="F36" s="21" t="str">
        <f>IFERROR(IF('IP Input Sheet'!D54&lt;&gt;"",'IP Input Sheet'!D54,IF('IP Input Sheet'!E54&lt;&gt;"",'IP Input Sheet'!E54,'IP Input Sheet'!F54)),"[Enter IP]")</f>
        <v>10.3.118.0/24</v>
      </c>
      <c r="G36" s="21" t="s">
        <v>384</v>
      </c>
      <c r="H36" s="21" t="s">
        <v>272</v>
      </c>
      <c r="I36" s="21" t="s">
        <v>385</v>
      </c>
      <c r="J36" s="22" t="s">
        <v>254</v>
      </c>
      <c r="K36" s="23" t="s">
        <v>255</v>
      </c>
      <c r="L36" s="21" t="s">
        <v>256</v>
      </c>
      <c r="M36" s="2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4" t="s">
        <v>386</v>
      </c>
      <c r="B37" s="24" t="s">
        <v>387</v>
      </c>
      <c r="C37" s="24" t="s">
        <v>378</v>
      </c>
      <c r="D37" s="24" t="str">
        <f>IFERROR(IF('IP Input Sheet'!D9&lt;&gt;"",'IP Input Sheet'!D9,IF('IP Input Sheet'!E9&lt;&gt;"",'IP Input Sheet'!E9,'IP Input Sheet'!F9)),"[Enter IP]")</f>
        <v>10.5.25.64/26</v>
      </c>
      <c r="E37" s="24" t="s">
        <v>267</v>
      </c>
      <c r="F37" s="24" t="str">
        <f>IFERROR(IF('IP Input Sheet'!D14&lt;&gt;"",'IP Input Sheet'!D14,IF('IP Input Sheet'!E14&lt;&gt;"",'IP Input Sheet'!E14,'IP Input Sheet'!F14)),"[Enter IP]")</f>
        <v>10.3.118.0/24</v>
      </c>
      <c r="G37" s="24" t="s">
        <v>251</v>
      </c>
      <c r="H37" s="24" t="s">
        <v>252</v>
      </c>
      <c r="I37" s="24" t="s">
        <v>388</v>
      </c>
      <c r="J37" s="22" t="s">
        <v>254</v>
      </c>
      <c r="K37" s="23" t="s">
        <v>255</v>
      </c>
      <c r="L37" s="24" t="s">
        <v>256</v>
      </c>
      <c r="M37" s="2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1" t="s">
        <v>389</v>
      </c>
      <c r="B38" s="21" t="s">
        <v>390</v>
      </c>
      <c r="C38" s="21" t="s">
        <v>378</v>
      </c>
      <c r="D38" s="21" t="str">
        <f>IFERROR(IF('IP Input Sheet'!D9&lt;&gt;"",'IP Input Sheet'!D9,IF('IP Input Sheet'!E9&lt;&gt;"",'IP Input Sheet'!E9,'IP Input Sheet'!F9)),"[Enter IP]")</f>
        <v>10.5.25.64/26</v>
      </c>
      <c r="E38" s="21" t="s">
        <v>203</v>
      </c>
      <c r="F38" s="21" t="str">
        <f>'IP Input Sheet'!D60</f>
        <v/>
      </c>
      <c r="G38" s="21" t="s">
        <v>271</v>
      </c>
      <c r="H38" s="21" t="s">
        <v>252</v>
      </c>
      <c r="I38" s="21" t="s">
        <v>391</v>
      </c>
      <c r="J38" s="22" t="s">
        <v>254</v>
      </c>
      <c r="K38" s="23" t="s">
        <v>255</v>
      </c>
      <c r="L38" s="21" t="s">
        <v>256</v>
      </c>
      <c r="M38" s="2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4" t="s">
        <v>392</v>
      </c>
      <c r="B39" s="24" t="s">
        <v>393</v>
      </c>
      <c r="C39" s="24" t="s">
        <v>378</v>
      </c>
      <c r="D39" s="24" t="str">
        <f>IFERROR(IF('IP Input Sheet'!D9&lt;&gt;"",'IP Input Sheet'!D9,IF('IP Input Sheet'!E9&lt;&gt;"",'IP Input Sheet'!E9,'IP Input Sheet'!F9)),"[Enter IP]")</f>
        <v>10.5.25.64/26</v>
      </c>
      <c r="E39" s="24" t="s">
        <v>207</v>
      </c>
      <c r="F39" s="24" t="str">
        <f>'IP Input Sheet'!D61</f>
        <v/>
      </c>
      <c r="G39" s="24" t="s">
        <v>277</v>
      </c>
      <c r="H39" s="24" t="s">
        <v>278</v>
      </c>
      <c r="I39" s="24" t="s">
        <v>394</v>
      </c>
      <c r="J39" s="22" t="s">
        <v>254</v>
      </c>
      <c r="K39" s="23" t="s">
        <v>255</v>
      </c>
      <c r="L39" s="24" t="s">
        <v>256</v>
      </c>
      <c r="M39" s="2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1" t="s">
        <v>395</v>
      </c>
      <c r="B40" s="21" t="s">
        <v>396</v>
      </c>
      <c r="C40" s="21" t="s">
        <v>378</v>
      </c>
      <c r="D40" s="21" t="str">
        <f>IFERROR(IF('IP Input Sheet'!D9&lt;&gt;"",'IP Input Sheet'!D9,IF('IP Input Sheet'!E9&lt;&gt;"",'IP Input Sheet'!E9,'IP Input Sheet'!F9)),"[Enter IP]")</f>
        <v>10.5.25.64/26</v>
      </c>
      <c r="E40" s="21" t="s">
        <v>397</v>
      </c>
      <c r="F40" s="21" t="s">
        <v>398</v>
      </c>
      <c r="G40" s="21" t="s">
        <v>399</v>
      </c>
      <c r="H40" s="21" t="s">
        <v>252</v>
      </c>
      <c r="I40" s="21" t="s">
        <v>400</v>
      </c>
      <c r="J40" s="22" t="s">
        <v>254</v>
      </c>
      <c r="K40" s="23" t="s">
        <v>255</v>
      </c>
      <c r="L40" s="21" t="s">
        <v>256</v>
      </c>
      <c r="M40" s="21" t="s">
        <v>401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4" t="s">
        <v>402</v>
      </c>
      <c r="B41" s="24" t="s">
        <v>403</v>
      </c>
      <c r="C41" s="24" t="s">
        <v>378</v>
      </c>
      <c r="D41" s="24" t="str">
        <f>IFERROR(IF('IP Input Sheet'!D9&lt;&gt;"",'IP Input Sheet'!D9,IF('IP Input Sheet'!E9&lt;&gt;"",'IP Input Sheet'!E9,'IP Input Sheet'!F9)),"[Enter IP]")</f>
        <v>10.5.25.64/26</v>
      </c>
      <c r="E41" s="24" t="s">
        <v>404</v>
      </c>
      <c r="F41" s="24" t="str">
        <f>IFERROR(IF('IP Input Sheet'!D19&lt;&gt;"",'IP Input Sheet'!D19,IF('IP Input Sheet'!E19&lt;&gt;"",'IP Input Sheet'!E19,'IP Input Sheet'!F19)),"[Enter IP]")</f>
        <v>10.3.118.101</v>
      </c>
      <c r="G41" s="24" t="s">
        <v>251</v>
      </c>
      <c r="H41" s="24" t="s">
        <v>252</v>
      </c>
      <c r="I41" s="24" t="s">
        <v>405</v>
      </c>
      <c r="J41" s="22" t="s">
        <v>254</v>
      </c>
      <c r="K41" s="23" t="s">
        <v>255</v>
      </c>
      <c r="L41" s="24" t="s">
        <v>256</v>
      </c>
      <c r="M41" s="24" t="s">
        <v>406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1" t="s">
        <v>407</v>
      </c>
      <c r="B42" s="21" t="s">
        <v>408</v>
      </c>
      <c r="C42" s="21" t="s">
        <v>378</v>
      </c>
      <c r="D42" s="21" t="str">
        <f>IFERROR(IF('IP Input Sheet'!D9&lt;&gt;"",'IP Input Sheet'!D9,IF('IP Input Sheet'!E9&lt;&gt;"",'IP Input Sheet'!E9,'IP Input Sheet'!F9)),"[Enter IP]")</f>
        <v>10.5.25.64/26</v>
      </c>
      <c r="E42" s="21" t="s">
        <v>404</v>
      </c>
      <c r="F42" s="21" t="str">
        <f>IFERROR(IF('IP Input Sheet'!D19&lt;&gt;"",'IP Input Sheet'!D19,IF('IP Input Sheet'!E19&lt;&gt;"",'IP Input Sheet'!E19,'IP Input Sheet'!F19)),"[Enter IP]")</f>
        <v>10.3.118.101</v>
      </c>
      <c r="G42" s="21" t="s">
        <v>287</v>
      </c>
      <c r="H42" s="21" t="s">
        <v>252</v>
      </c>
      <c r="I42" s="21" t="s">
        <v>409</v>
      </c>
      <c r="J42" s="22" t="s">
        <v>254</v>
      </c>
      <c r="K42" s="23" t="s">
        <v>255</v>
      </c>
      <c r="L42" s="21" t="s">
        <v>256</v>
      </c>
      <c r="M42" s="21" t="s">
        <v>410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4" t="s">
        <v>411</v>
      </c>
      <c r="B43" s="24" t="s">
        <v>412</v>
      </c>
      <c r="C43" s="24" t="s">
        <v>14</v>
      </c>
      <c r="D43" s="24" t="str">
        <f>IFERROR(IF('IP Input Sheet'!D6&lt;&gt;"",'IP Input Sheet'!D6,IF('IP Input Sheet'!E6&lt;&gt;"",'IP Input Sheet'!E6,'IP Input Sheet'!F6)),"[Enter IP]")</f>
        <v>10.5.25.64/26</v>
      </c>
      <c r="E43" s="24" t="s">
        <v>404</v>
      </c>
      <c r="F43" s="24" t="str">
        <f>IFERROR(IF('IP Input Sheet'!D19&lt;&gt;"",'IP Input Sheet'!D19,IF('IP Input Sheet'!E19&lt;&gt;"",'IP Input Sheet'!E19,'IP Input Sheet'!F19)),"[Enter IP]")</f>
        <v>10.3.118.101</v>
      </c>
      <c r="G43" s="24" t="s">
        <v>251</v>
      </c>
      <c r="H43" s="24" t="s">
        <v>252</v>
      </c>
      <c r="I43" s="24" t="s">
        <v>413</v>
      </c>
      <c r="J43" s="22" t="s">
        <v>254</v>
      </c>
      <c r="K43" s="23" t="s">
        <v>255</v>
      </c>
      <c r="L43" s="24" t="s">
        <v>256</v>
      </c>
      <c r="M43" s="24" t="s">
        <v>414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6" t="s">
        <v>415</v>
      </c>
      <c r="B44" s="26" t="s">
        <v>416</v>
      </c>
      <c r="C44" s="26" t="s">
        <v>417</v>
      </c>
      <c r="D44" s="26" t="str">
        <f>IFERROR(IF('IP Input Sheet'!D22&lt;&gt;"",'IP Input Sheet'!D22,IF('IP Input Sheet'!E22&lt;&gt;"",'IP Input Sheet'!E22,'IP Input Sheet'!F22)),"[Enter IP]")</f>
        <v>10.3.111.101</v>
      </c>
      <c r="E44" s="26" t="s">
        <v>418</v>
      </c>
      <c r="F44" s="26" t="str">
        <f>IFERROR(IF('IP Input Sheet'!D32&lt;&gt;"",'IP Input Sheet'!D32,IF('IP Input Sheet'!E32&lt;&gt;"",'IP Input Sheet'!E32,'IP Input Sheet'!F32)),"[Enter IP]")</f>
        <v>10.3.111.97</v>
      </c>
      <c r="G44" s="26" t="s">
        <v>419</v>
      </c>
      <c r="H44" s="26" t="s">
        <v>252</v>
      </c>
      <c r="I44" s="26" t="s">
        <v>420</v>
      </c>
      <c r="J44" s="22" t="s">
        <v>254</v>
      </c>
      <c r="K44" s="27" t="s">
        <v>255</v>
      </c>
      <c r="L44" s="26" t="s">
        <v>261</v>
      </c>
      <c r="M44" s="26" t="s">
        <v>421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8" t="s">
        <v>422</v>
      </c>
      <c r="B45" s="28" t="s">
        <v>423</v>
      </c>
      <c r="C45" s="28" t="s">
        <v>424</v>
      </c>
      <c r="D45" s="28" t="str">
        <f>IFERROR(IF('IP Input Sheet'!D23&lt;&gt;"",'IP Input Sheet'!D23,IF('IP Input Sheet'!E23&lt;&gt;"",'IP Input Sheet'!E23,'IP Input Sheet'!F23)),"[Enter IP]")</f>
        <v>10.3.111.121</v>
      </c>
      <c r="E45" s="28" t="s">
        <v>425</v>
      </c>
      <c r="F45" s="28" t="str">
        <f>IFERROR(IF('IP Input Sheet'!D33&lt;&gt;"",'IP Input Sheet'!D33,IF('IP Input Sheet'!E33&lt;&gt;"",'IP Input Sheet'!E33,'IP Input Sheet'!F33)),"[Enter IP]")</f>
        <v>10.3.111.113</v>
      </c>
      <c r="G45" s="28" t="s">
        <v>419</v>
      </c>
      <c r="H45" s="28" t="s">
        <v>252</v>
      </c>
      <c r="I45" s="28" t="s">
        <v>420</v>
      </c>
      <c r="J45" s="22" t="s">
        <v>254</v>
      </c>
      <c r="K45" s="27" t="s">
        <v>255</v>
      </c>
      <c r="L45" s="28" t="s">
        <v>261</v>
      </c>
      <c r="M45" s="28" t="s">
        <v>426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6" t="s">
        <v>427</v>
      </c>
      <c r="B46" s="26" t="s">
        <v>428</v>
      </c>
      <c r="C46" s="26" t="s">
        <v>429</v>
      </c>
      <c r="D46" s="26" t="str">
        <f>IFERROR(IF('IP Input Sheet'!D24&lt;&gt;"",'IP Input Sheet'!D24,IF('IP Input Sheet'!E24&lt;&gt;"",'IP Input Sheet'!E24,'IP Input Sheet'!F24)),"[Enter IP]")</f>
        <v>10.3.111.102</v>
      </c>
      <c r="E46" s="26" t="s">
        <v>418</v>
      </c>
      <c r="F46" s="26" t="str">
        <f>IFERROR(IF('IP Input Sheet'!D32&lt;&gt;"",'IP Input Sheet'!D32,IF('IP Input Sheet'!E32&lt;&gt;"",'IP Input Sheet'!E32,'IP Input Sheet'!F32)),"[Enter IP]")</f>
        <v>10.3.111.97</v>
      </c>
      <c r="G46" s="26" t="s">
        <v>419</v>
      </c>
      <c r="H46" s="26" t="s">
        <v>252</v>
      </c>
      <c r="I46" s="26" t="s">
        <v>420</v>
      </c>
      <c r="J46" s="22" t="s">
        <v>254</v>
      </c>
      <c r="K46" s="27" t="s">
        <v>255</v>
      </c>
      <c r="L46" s="26" t="s">
        <v>261</v>
      </c>
      <c r="M46" s="26" t="s">
        <v>430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8" t="s">
        <v>431</v>
      </c>
      <c r="B47" s="28" t="s">
        <v>432</v>
      </c>
      <c r="C47" s="28" t="s">
        <v>433</v>
      </c>
      <c r="D47" s="28" t="str">
        <f>IFERROR(IF('IP Input Sheet'!D25&lt;&gt;"",'IP Input Sheet'!D25,IF('IP Input Sheet'!E25&lt;&gt;"",'IP Input Sheet'!E25,'IP Input Sheet'!F25)),"[Enter IP]")</f>
        <v>10.3.111.122</v>
      </c>
      <c r="E47" s="28" t="s">
        <v>425</v>
      </c>
      <c r="F47" s="28" t="str">
        <f>IFERROR(IF('IP Input Sheet'!D33&lt;&gt;"",'IP Input Sheet'!D33,IF('IP Input Sheet'!E33&lt;&gt;"",'IP Input Sheet'!E33,'IP Input Sheet'!F33)),"[Enter IP]")</f>
        <v>10.3.111.113</v>
      </c>
      <c r="G47" s="28" t="s">
        <v>419</v>
      </c>
      <c r="H47" s="28" t="s">
        <v>252</v>
      </c>
      <c r="I47" s="28" t="s">
        <v>420</v>
      </c>
      <c r="J47" s="22" t="s">
        <v>254</v>
      </c>
      <c r="K47" s="27" t="s">
        <v>255</v>
      </c>
      <c r="L47" s="28" t="s">
        <v>261</v>
      </c>
      <c r="M47" s="28" t="s">
        <v>434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6" t="s">
        <v>435</v>
      </c>
      <c r="B48" s="26" t="s">
        <v>436</v>
      </c>
      <c r="C48" s="26" t="s">
        <v>437</v>
      </c>
      <c r="D48" s="26" t="str">
        <f>IFERROR(IF('IP Input Sheet'!D26&lt;&gt;"",'IP Input Sheet'!D26,IF('IP Input Sheet'!E26&lt;&gt;"",'IP Input Sheet'!E26,'IP Input Sheet'!F26)),"[Enter IP]")</f>
        <v>10.3.111.133</v>
      </c>
      <c r="E48" s="26" t="s">
        <v>438</v>
      </c>
      <c r="F48" s="26" t="str">
        <f>IFERROR(IF('IP Input Sheet'!D34&lt;&gt;"",'IP Input Sheet'!D34,IF('IP Input Sheet'!E34&lt;&gt;"",'IP Input Sheet'!E34,'IP Input Sheet'!F34)),"[Enter IP]")</f>
        <v>10.3.111.129</v>
      </c>
      <c r="G48" s="26" t="s">
        <v>419</v>
      </c>
      <c r="H48" s="26" t="s">
        <v>252</v>
      </c>
      <c r="I48" s="26" t="s">
        <v>420</v>
      </c>
      <c r="J48" s="22" t="s">
        <v>254</v>
      </c>
      <c r="K48" s="27" t="s">
        <v>255</v>
      </c>
      <c r="L48" s="26" t="s">
        <v>261</v>
      </c>
      <c r="M48" s="26" t="s">
        <v>439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8" t="s">
        <v>440</v>
      </c>
      <c r="B49" s="28" t="s">
        <v>441</v>
      </c>
      <c r="C49" s="28" t="s">
        <v>442</v>
      </c>
      <c r="D49" s="28" t="str">
        <f>IFERROR(IF('IP Input Sheet'!D27&lt;&gt;"",'IP Input Sheet'!D27,IF('IP Input Sheet'!E27&lt;&gt;"",'IP Input Sheet'!E27,'IP Input Sheet'!F27)),"[Enter IP]")</f>
        <v>10.3.111.153</v>
      </c>
      <c r="E49" s="28" t="s">
        <v>443</v>
      </c>
      <c r="F49" s="28" t="str">
        <f>IFERROR(IF('IP Input Sheet'!D35&lt;&gt;"",'IP Input Sheet'!D35,IF('IP Input Sheet'!E35&lt;&gt;"",'IP Input Sheet'!E35,'IP Input Sheet'!F35)),"[Enter IP]")</f>
        <v/>
      </c>
      <c r="G49" s="28" t="s">
        <v>419</v>
      </c>
      <c r="H49" s="28" t="s">
        <v>252</v>
      </c>
      <c r="I49" s="28" t="s">
        <v>420</v>
      </c>
      <c r="J49" s="22" t="s">
        <v>254</v>
      </c>
      <c r="K49" s="27" t="s">
        <v>255</v>
      </c>
      <c r="L49" s="28" t="s">
        <v>261</v>
      </c>
      <c r="M49" s="28" t="s">
        <v>444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6" t="s">
        <v>445</v>
      </c>
      <c r="B50" s="26" t="s">
        <v>446</v>
      </c>
      <c r="C50" s="26" t="s">
        <v>447</v>
      </c>
      <c r="D50" s="26" t="str">
        <f>IFERROR(IF('IP Input Sheet'!D28&lt;&gt;"",'IP Input Sheet'!D28,IF('IP Input Sheet'!E28&lt;&gt;"",'IP Input Sheet'!E28,'IP Input Sheet'!F28)),"[Enter IP]")</f>
        <v>10.3.111.134</v>
      </c>
      <c r="E50" s="26" t="s">
        <v>438</v>
      </c>
      <c r="F50" s="26" t="str">
        <f>IFERROR(IF('IP Input Sheet'!D34&lt;&gt;"",'IP Input Sheet'!D34,IF('IP Input Sheet'!E34&lt;&gt;"",'IP Input Sheet'!E34,'IP Input Sheet'!F34)),"[Enter IP]")</f>
        <v>10.3.111.129</v>
      </c>
      <c r="G50" s="26" t="s">
        <v>419</v>
      </c>
      <c r="H50" s="26" t="s">
        <v>252</v>
      </c>
      <c r="I50" s="26" t="s">
        <v>420</v>
      </c>
      <c r="J50" s="22" t="s">
        <v>254</v>
      </c>
      <c r="K50" s="27" t="s">
        <v>255</v>
      </c>
      <c r="L50" s="26" t="s">
        <v>261</v>
      </c>
      <c r="M50" s="26" t="s">
        <v>448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8" t="s">
        <v>449</v>
      </c>
      <c r="B51" s="28" t="s">
        <v>450</v>
      </c>
      <c r="C51" s="28" t="s">
        <v>451</v>
      </c>
      <c r="D51" s="28" t="str">
        <f>IFERROR(IF('IP Input Sheet'!D29&lt;&gt;"",'IP Input Sheet'!D29,IF('IP Input Sheet'!E29&lt;&gt;"",'IP Input Sheet'!E29,'IP Input Sheet'!F29)),"[Enter IP]")</f>
        <v>10.3.111.154</v>
      </c>
      <c r="E51" s="28" t="s">
        <v>443</v>
      </c>
      <c r="F51" s="28" t="str">
        <f>IFERROR(IF('IP Input Sheet'!D35&lt;&gt;"",'IP Input Sheet'!D35,IF('IP Input Sheet'!E35&lt;&gt;"",'IP Input Sheet'!E35,'IP Input Sheet'!F35)),"[Enter IP]")</f>
        <v/>
      </c>
      <c r="G51" s="28" t="s">
        <v>419</v>
      </c>
      <c r="H51" s="28" t="s">
        <v>252</v>
      </c>
      <c r="I51" s="28" t="s">
        <v>420</v>
      </c>
      <c r="J51" s="22" t="s">
        <v>254</v>
      </c>
      <c r="K51" s="27" t="s">
        <v>255</v>
      </c>
      <c r="L51" s="28" t="s">
        <v>261</v>
      </c>
      <c r="M51" s="28" t="s">
        <v>452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6" t="s">
        <v>453</v>
      </c>
      <c r="B52" s="26" t="s">
        <v>454</v>
      </c>
      <c r="C52" s="26" t="s">
        <v>455</v>
      </c>
      <c r="D52" s="26" t="str">
        <f>IFERROR(IF('IP Input Sheet'!D30&lt;&gt;"",'IP Input Sheet'!D30,IF('IP Input Sheet'!E30&lt;&gt;"",'IP Input Sheet'!E30,'IP Input Sheet'!F30)),"[Enter IP]")</f>
        <v>10.5.236.0/24</v>
      </c>
      <c r="E52" s="26" t="s">
        <v>456</v>
      </c>
      <c r="F52" s="26" t="str">
        <f>IFERROR(IF('IP Input Sheet'!D18&lt;&gt;"",'IP Input Sheet'!D18,IF('IP Input Sheet'!E18&lt;&gt;"",'IP Input Sheet'!E18,'IP Input Sheet'!F18)),"[Enter IP]")</f>
        <v>10.3.118.0/24</v>
      </c>
      <c r="G52" s="26" t="s">
        <v>457</v>
      </c>
      <c r="H52" s="26" t="s">
        <v>278</v>
      </c>
      <c r="I52" s="26" t="s">
        <v>458</v>
      </c>
      <c r="J52" s="22" t="s">
        <v>254</v>
      </c>
      <c r="K52" s="27" t="s">
        <v>255</v>
      </c>
      <c r="L52" s="26" t="s">
        <v>261</v>
      </c>
      <c r="M52" s="26" t="s">
        <v>459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8" t="s">
        <v>460</v>
      </c>
      <c r="B53" s="28" t="s">
        <v>461</v>
      </c>
      <c r="C53" s="28" t="s">
        <v>455</v>
      </c>
      <c r="D53" s="28" t="str">
        <f>IFERROR(IF('IP Input Sheet'!D30&lt;&gt;"",'IP Input Sheet'!D30,IF('IP Input Sheet'!E30&lt;&gt;"",'IP Input Sheet'!E30,'IP Input Sheet'!F30)),"[Enter IP]")</f>
        <v>10.5.236.0/24</v>
      </c>
      <c r="E53" s="28" t="s">
        <v>462</v>
      </c>
      <c r="F53" s="28" t="str">
        <f>IFERROR(IF('IP Input Sheet'!D30&lt;&gt;"",'IP Input Sheet'!D30,IF('IP Input Sheet'!E30&lt;&gt;"",'IP Input Sheet'!E30,'IP Input Sheet'!F30)),"[Enter IP]")</f>
        <v>10.5.236.0/24</v>
      </c>
      <c r="G53" s="28" t="s">
        <v>457</v>
      </c>
      <c r="H53" s="28" t="s">
        <v>278</v>
      </c>
      <c r="I53" s="28" t="s">
        <v>463</v>
      </c>
      <c r="J53" s="22" t="s">
        <v>254</v>
      </c>
      <c r="K53" s="27" t="s">
        <v>255</v>
      </c>
      <c r="L53" s="28" t="s">
        <v>261</v>
      </c>
      <c r="M53" s="28" t="s">
        <v>464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6" t="s">
        <v>465</v>
      </c>
      <c r="B54" s="26" t="s">
        <v>466</v>
      </c>
      <c r="C54" s="26" t="s">
        <v>467</v>
      </c>
      <c r="D54" s="26" t="str">
        <f>IFERROR(IF('IP Input Sheet'!D31&lt;&gt;"",'IP Input Sheet'!D31,IF('IP Input Sheet'!E31&lt;&gt;"",'IP Input Sheet'!E31,'IP Input Sheet'!F31)),"[Enter IP]")</f>
        <v>10.5.22.0/24</v>
      </c>
      <c r="E54" s="26" t="s">
        <v>468</v>
      </c>
      <c r="F54" s="26" t="str">
        <f>IFERROR(IF('IP Input Sheet'!D31&lt;&gt;"",'IP Input Sheet'!D31,IF('IP Input Sheet'!E31&lt;&gt;"",'IP Input Sheet'!E31,'IP Input Sheet'!F31)),"[Enter IP]")</f>
        <v>10.5.22.0/24</v>
      </c>
      <c r="G54" s="26" t="s">
        <v>457</v>
      </c>
      <c r="H54" s="26" t="s">
        <v>278</v>
      </c>
      <c r="I54" s="26" t="s">
        <v>469</v>
      </c>
      <c r="J54" s="22" t="s">
        <v>254</v>
      </c>
      <c r="K54" s="27" t="s">
        <v>255</v>
      </c>
      <c r="L54" s="26" t="s">
        <v>261</v>
      </c>
      <c r="M54" s="26" t="s">
        <v>470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8" t="s">
        <v>471</v>
      </c>
      <c r="B55" s="28" t="s">
        <v>472</v>
      </c>
      <c r="C55" s="28" t="s">
        <v>473</v>
      </c>
      <c r="D55" s="28" t="str">
        <f>IFERROR(IF('IP Input Sheet'!D22&lt;&gt;"",'IP Input Sheet'!D22,IF('IP Input Sheet'!E22&lt;&gt;"",'IP Input Sheet'!E22,'IP Input Sheet'!F22)),"[Enter IP]")</f>
        <v>10.3.111.101</v>
      </c>
      <c r="E55" s="28" t="s">
        <v>474</v>
      </c>
      <c r="F55" s="28" t="str">
        <f>IFERROR(IF('IP Input Sheet'!D32&lt;&gt;"",'IP Input Sheet'!D32,IF('IP Input Sheet'!E32&lt;&gt;"",'IP Input Sheet'!E32,'IP Input Sheet'!F32)),"[Enter IP]")</f>
        <v>10.3.111.97</v>
      </c>
      <c r="G55" s="28" t="s">
        <v>475</v>
      </c>
      <c r="H55" s="28" t="s">
        <v>278</v>
      </c>
      <c r="I55" s="28" t="s">
        <v>476</v>
      </c>
      <c r="J55" s="22" t="s">
        <v>254</v>
      </c>
      <c r="K55" s="27" t="s">
        <v>255</v>
      </c>
      <c r="L55" s="28" t="s">
        <v>261</v>
      </c>
      <c r="M55" s="28" t="s">
        <v>421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6" t="s">
        <v>477</v>
      </c>
      <c r="B56" s="26" t="s">
        <v>478</v>
      </c>
      <c r="C56" s="26" t="s">
        <v>479</v>
      </c>
      <c r="D56" s="26" t="str">
        <f>IFERROR(IF('IP Input Sheet'!D23&lt;&gt;"",'IP Input Sheet'!D23,IF('IP Input Sheet'!E23&lt;&gt;"",'IP Input Sheet'!E23,'IP Input Sheet'!F23)),"[Enter IP]")</f>
        <v>10.3.111.121</v>
      </c>
      <c r="E56" s="26" t="s">
        <v>480</v>
      </c>
      <c r="F56" s="26" t="str">
        <f>IFERROR(IF('IP Input Sheet'!D33&lt;&gt;"",'IP Input Sheet'!D33,IF('IP Input Sheet'!E33&lt;&gt;"",'IP Input Sheet'!E33,'IP Input Sheet'!F33)),"[Enter IP]")</f>
        <v>10.3.111.113</v>
      </c>
      <c r="G56" s="26" t="s">
        <v>475</v>
      </c>
      <c r="H56" s="26" t="s">
        <v>278</v>
      </c>
      <c r="I56" s="26" t="s">
        <v>476</v>
      </c>
      <c r="J56" s="22" t="s">
        <v>254</v>
      </c>
      <c r="K56" s="27" t="s">
        <v>255</v>
      </c>
      <c r="L56" s="26" t="s">
        <v>261</v>
      </c>
      <c r="M56" s="26" t="s">
        <v>426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8" t="s">
        <v>481</v>
      </c>
      <c r="B57" s="28" t="s">
        <v>482</v>
      </c>
      <c r="C57" s="28" t="s">
        <v>483</v>
      </c>
      <c r="D57" s="28" t="str">
        <f>IFERROR(IF('IP Input Sheet'!D26&lt;&gt;"",'IP Input Sheet'!D26,IF('IP Input Sheet'!E26&lt;&gt;"",'IP Input Sheet'!E26,'IP Input Sheet'!F26)),"[Enter IP]")</f>
        <v>10.3.111.133</v>
      </c>
      <c r="E57" s="28" t="s">
        <v>484</v>
      </c>
      <c r="F57" s="28" t="str">
        <f>IFERROR(IF('IP Input Sheet'!D34&lt;&gt;"",'IP Input Sheet'!D34,IF('IP Input Sheet'!E34&lt;&gt;"",'IP Input Sheet'!E34,'IP Input Sheet'!F34)),"[Enter IP]")</f>
        <v>10.3.111.129</v>
      </c>
      <c r="G57" s="28" t="s">
        <v>475</v>
      </c>
      <c r="H57" s="28" t="s">
        <v>278</v>
      </c>
      <c r="I57" s="28" t="s">
        <v>476</v>
      </c>
      <c r="J57" s="22" t="s">
        <v>254</v>
      </c>
      <c r="K57" s="27" t="s">
        <v>255</v>
      </c>
      <c r="L57" s="28" t="s">
        <v>261</v>
      </c>
      <c r="M57" s="28" t="s">
        <v>439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6" t="s">
        <v>485</v>
      </c>
      <c r="B58" s="26" t="s">
        <v>486</v>
      </c>
      <c r="C58" s="26" t="s">
        <v>487</v>
      </c>
      <c r="D58" s="26" t="str">
        <f>IFERROR(IF('IP Input Sheet'!D27&lt;&gt;"",'IP Input Sheet'!D27,IF('IP Input Sheet'!E27&lt;&gt;"",'IP Input Sheet'!E27,'IP Input Sheet'!F27)),"[Enter IP]")</f>
        <v>10.3.111.153</v>
      </c>
      <c r="E58" s="26" t="s">
        <v>488</v>
      </c>
      <c r="F58" s="26" t="str">
        <f>IFERROR(IF('IP Input Sheet'!D35&lt;&gt;"",'IP Input Sheet'!D35,IF('IP Input Sheet'!E35&lt;&gt;"",'IP Input Sheet'!E35,'IP Input Sheet'!F35)),"[Enter IP]")</f>
        <v/>
      </c>
      <c r="G58" s="26" t="s">
        <v>475</v>
      </c>
      <c r="H58" s="26" t="s">
        <v>278</v>
      </c>
      <c r="I58" s="26" t="s">
        <v>476</v>
      </c>
      <c r="J58" s="22" t="s">
        <v>254</v>
      </c>
      <c r="K58" s="27" t="s">
        <v>255</v>
      </c>
      <c r="L58" s="26" t="s">
        <v>261</v>
      </c>
      <c r="M58" s="26" t="s">
        <v>444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9" t="s">
        <v>489</v>
      </c>
      <c r="B59" s="29" t="s">
        <v>490</v>
      </c>
      <c r="C59" s="29" t="s">
        <v>473</v>
      </c>
      <c r="D59" s="29" t="str">
        <f>IFERROR(IF('IP Input Sheet'!D22&lt;&gt;"",'IP Input Sheet'!D22,IF('IP Input Sheet'!E22&lt;&gt;"",'IP Input Sheet'!E22,'IP Input Sheet'!F22)),"[Enter IP]")</f>
        <v>10.3.111.101</v>
      </c>
      <c r="E59" s="29" t="s">
        <v>474</v>
      </c>
      <c r="F59" s="29" t="str">
        <f>IFERROR(IF('IP Input Sheet'!D32&lt;&gt;"",'IP Input Sheet'!D32,IF('IP Input Sheet'!E32&lt;&gt;"",'IP Input Sheet'!E32,'IP Input Sheet'!F32)),"[Enter IP]")</f>
        <v>10.3.111.97</v>
      </c>
      <c r="G59" s="29" t="s">
        <v>491</v>
      </c>
      <c r="H59" s="29" t="s">
        <v>278</v>
      </c>
      <c r="I59" s="29" t="s">
        <v>492</v>
      </c>
      <c r="J59" s="22" t="s">
        <v>254</v>
      </c>
      <c r="K59" s="29" t="s">
        <v>255</v>
      </c>
      <c r="L59" s="29" t="s">
        <v>261</v>
      </c>
      <c r="M59" s="29" t="s">
        <v>493</v>
      </c>
      <c r="N59" s="30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9" t="s">
        <v>494</v>
      </c>
      <c r="B60" s="29" t="s">
        <v>495</v>
      </c>
      <c r="C60" s="29" t="s">
        <v>479</v>
      </c>
      <c r="D60" s="29" t="str">
        <f>IFERROR(IF('IP Input Sheet'!D23&lt;&gt;"",'IP Input Sheet'!D23,IF('IP Input Sheet'!E23&lt;&gt;"",'IP Input Sheet'!E23,'IP Input Sheet'!F23)),"[Enter IP]")</f>
        <v>10.3.111.121</v>
      </c>
      <c r="E60" s="29" t="s">
        <v>480</v>
      </c>
      <c r="F60" s="29" t="str">
        <f>IFERROR(IF('IP Input Sheet'!D33&lt;&gt;"",'IP Input Sheet'!D33,IF('IP Input Sheet'!E33&lt;&gt;"",'IP Input Sheet'!E33,'IP Input Sheet'!F33)),"[Enter IP]")</f>
        <v>10.3.111.113</v>
      </c>
      <c r="G60" s="29" t="s">
        <v>491</v>
      </c>
      <c r="H60" s="29" t="s">
        <v>278</v>
      </c>
      <c r="I60" s="29" t="s">
        <v>492</v>
      </c>
      <c r="J60" s="22" t="s">
        <v>254</v>
      </c>
      <c r="K60" s="29" t="s">
        <v>255</v>
      </c>
      <c r="L60" s="29" t="s">
        <v>261</v>
      </c>
      <c r="M60" s="29" t="s">
        <v>496</v>
      </c>
      <c r="N60" s="30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9" t="s">
        <v>497</v>
      </c>
      <c r="B61" s="29" t="s">
        <v>498</v>
      </c>
      <c r="C61" s="29" t="s">
        <v>483</v>
      </c>
      <c r="D61" s="29" t="str">
        <f>IFERROR(IF('IP Input Sheet'!D26&lt;&gt;"",'IP Input Sheet'!D26,IF('IP Input Sheet'!E26&lt;&gt;"",'IP Input Sheet'!E26,'IP Input Sheet'!F26)),"[Enter IP]")</f>
        <v>10.3.111.133</v>
      </c>
      <c r="E61" s="29" t="s">
        <v>484</v>
      </c>
      <c r="F61" s="29" t="str">
        <f>IFERROR(IF('IP Input Sheet'!D34&lt;&gt;"",'IP Input Sheet'!D34,IF('IP Input Sheet'!E34&lt;&gt;"",'IP Input Sheet'!E34,'IP Input Sheet'!F34)),"[Enter IP]")</f>
        <v>10.3.111.129</v>
      </c>
      <c r="G61" s="29" t="s">
        <v>491</v>
      </c>
      <c r="H61" s="29" t="s">
        <v>278</v>
      </c>
      <c r="I61" s="29" t="s">
        <v>492</v>
      </c>
      <c r="J61" s="22" t="s">
        <v>254</v>
      </c>
      <c r="K61" s="29" t="s">
        <v>255</v>
      </c>
      <c r="L61" s="29" t="s">
        <v>261</v>
      </c>
      <c r="M61" s="29" t="s">
        <v>499</v>
      </c>
      <c r="N61" s="30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9" t="s">
        <v>500</v>
      </c>
      <c r="B62" s="29" t="s">
        <v>501</v>
      </c>
      <c r="C62" s="29" t="s">
        <v>487</v>
      </c>
      <c r="D62" s="29" t="str">
        <f>IFERROR(IF('IP Input Sheet'!D27&lt;&gt;"",'IP Input Sheet'!D27,IF('IP Input Sheet'!E27&lt;&gt;"",'IP Input Sheet'!E27,'IP Input Sheet'!F27)),"[Enter IP]")</f>
        <v>10.3.111.153</v>
      </c>
      <c r="E62" s="29" t="s">
        <v>488</v>
      </c>
      <c r="F62" s="29" t="str">
        <f>IFERROR(IF('IP Input Sheet'!D35&lt;&gt;"",'IP Input Sheet'!D35,IF('IP Input Sheet'!E35&lt;&gt;"",'IP Input Sheet'!E35,'IP Input Sheet'!F35)),"[Enter IP]")</f>
        <v/>
      </c>
      <c r="G62" s="29" t="s">
        <v>491</v>
      </c>
      <c r="H62" s="29" t="s">
        <v>278</v>
      </c>
      <c r="I62" s="29" t="s">
        <v>492</v>
      </c>
      <c r="J62" s="22" t="s">
        <v>254</v>
      </c>
      <c r="K62" s="29" t="s">
        <v>255</v>
      </c>
      <c r="L62" s="29" t="s">
        <v>261</v>
      </c>
      <c r="M62" s="29" t="s">
        <v>502</v>
      </c>
      <c r="N62" s="30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0" customHeight="1">
      <c r="A63" s="29" t="s">
        <v>503</v>
      </c>
      <c r="B63" s="29" t="s">
        <v>504</v>
      </c>
      <c r="C63" s="29" t="s">
        <v>505</v>
      </c>
      <c r="D63" s="29" t="str">
        <f>IFERROR(IF('IP Input Sheet'!D30&lt;&gt;"",'IP Input Sheet'!D30,IF('IP Input Sheet'!E30&lt;&gt;"",'IP Input Sheet'!E30,'IP Input Sheet'!F30)),"[Enter IP]")</f>
        <v>10.5.236.0/24</v>
      </c>
      <c r="E63" s="29" t="s">
        <v>506</v>
      </c>
      <c r="F63" s="29" t="str">
        <f>IFERROR(IF('IP Input Sheet'!E30&lt;&gt;"",'IP Input Sheet'!E30,IF('IP Input Sheet'!D30&lt;&gt;"",'IP Input Sheet'!D30,'IP Input Sheet'!F30)),"[Enter IP]")</f>
        <v>10.5.248.0/24</v>
      </c>
      <c r="G63" s="29" t="s">
        <v>507</v>
      </c>
      <c r="H63" s="29" t="s">
        <v>278</v>
      </c>
      <c r="I63" s="29" t="s">
        <v>508</v>
      </c>
      <c r="J63" s="22" t="s">
        <v>254</v>
      </c>
      <c r="K63" s="29" t="s">
        <v>255</v>
      </c>
      <c r="L63" s="29" t="s">
        <v>261</v>
      </c>
      <c r="M63" s="29" t="s">
        <v>509</v>
      </c>
      <c r="N63" s="30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13"/>
      <c r="B64" s="13"/>
      <c r="C64" s="13"/>
      <c r="D64" s="13" t="str">
        <f>IFERROR(IF('IP Input Sheet'!D27&lt;&gt;"",'IP Input Sheet'!D27,IF('IP Input Sheet'!E27&lt;&gt;"",'IP Input Sheet'!E27,'IP Input Sheet'!F27)),"[Enter IP]")</f>
        <v>10.3.111.153</v>
      </c>
      <c r="E64" s="13"/>
      <c r="F64" s="13" t="str">
        <f>IFERROR(IF('IP Input Sheet'!D35&lt;&gt;"",'IP Input Sheet'!D35,IF('IP Input Sheet'!E35&lt;&gt;"",'IP Input Sheet'!E35,'IP Input Sheet'!F35)),"[Enter IP]")</f>
        <v/>
      </c>
      <c r="G64" s="13"/>
      <c r="H64" s="13"/>
      <c r="I64" s="13"/>
      <c r="J64" s="13"/>
      <c r="K64" s="13"/>
      <c r="L64" s="13"/>
      <c r="M64" s="1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9" t="s">
        <v>510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31" t="s">
        <v>511</v>
      </c>
      <c r="B66" s="31" t="s">
        <v>512</v>
      </c>
      <c r="C66" s="32" t="s">
        <v>513</v>
      </c>
      <c r="D66" s="32" t="str">
        <f>IFERROR(IF('IP Input Sheet'!D15&lt;&gt;"",'IP Input Sheet'!D15,IF('IP Input Sheet'!E15&lt;&gt;"",'IP Input Sheet'!E15,'IP Input Sheet'!F15)),"[Enter IP]")</f>
        <v>10.3.118.0/24</v>
      </c>
      <c r="E66" s="32" t="s">
        <v>514</v>
      </c>
      <c r="F66" s="32" t="str">
        <f>IFERROR(IF('IP Input Sheet'!D14&lt;&gt;"",'IP Input Sheet'!D14,IF('IP Input Sheet'!E14&lt;&gt;"",'IP Input Sheet'!E14,'IP Input Sheet'!F14)),"[Enter IP]")</f>
        <v>10.3.118.0/24</v>
      </c>
      <c r="G66" s="32" t="s">
        <v>251</v>
      </c>
      <c r="H66" s="32" t="s">
        <v>252</v>
      </c>
      <c r="I66" s="32" t="s">
        <v>515</v>
      </c>
      <c r="J66" s="22" t="s">
        <v>254</v>
      </c>
      <c r="K66" s="27" t="s">
        <v>255</v>
      </c>
      <c r="L66" s="32" t="s">
        <v>256</v>
      </c>
      <c r="M66" s="32" t="s">
        <v>516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31" t="s">
        <v>517</v>
      </c>
      <c r="B67" s="31" t="s">
        <v>518</v>
      </c>
      <c r="C67" s="32" t="s">
        <v>513</v>
      </c>
      <c r="D67" s="32" t="str">
        <f>IFERROR(IF('IP Input Sheet'!D15&lt;&gt;"",'IP Input Sheet'!D15,IF('IP Input Sheet'!E15&lt;&gt;"",'IP Input Sheet'!E15,'IP Input Sheet'!F15)),"[Enter IP]")</f>
        <v>10.3.118.0/24</v>
      </c>
      <c r="E67" s="32" t="s">
        <v>514</v>
      </c>
      <c r="F67" s="32" t="str">
        <f>IFERROR(IF('IP Input Sheet'!D14&lt;&gt;"",'IP Input Sheet'!D14,IF('IP Input Sheet'!E14&lt;&gt;"",'IP Input Sheet'!E14,'IP Input Sheet'!F14)),"[Enter IP]")</f>
        <v>10.3.118.0/24</v>
      </c>
      <c r="G67" s="32" t="s">
        <v>519</v>
      </c>
      <c r="H67" s="32" t="s">
        <v>252</v>
      </c>
      <c r="I67" s="32" t="s">
        <v>520</v>
      </c>
      <c r="J67" s="22" t="s">
        <v>254</v>
      </c>
      <c r="K67" s="27" t="s">
        <v>255</v>
      </c>
      <c r="L67" s="32" t="s">
        <v>256</v>
      </c>
      <c r="M67" s="32" t="s">
        <v>521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31" t="s">
        <v>522</v>
      </c>
      <c r="B68" s="31" t="s">
        <v>523</v>
      </c>
      <c r="C68" s="32" t="s">
        <v>524</v>
      </c>
      <c r="D68" s="32" t="str">
        <f>IFERROR(IF('IP Input Sheet'!D22&lt;&gt;"",'IP Input Sheet'!D22,IF('IP Input Sheet'!E22&lt;&gt;"",'IP Input Sheet'!E22,'IP Input Sheet'!F22)),"[Enter IP]")</f>
        <v>10.3.111.101</v>
      </c>
      <c r="E68" s="32" t="s">
        <v>525</v>
      </c>
      <c r="F68" s="32" t="str">
        <f>IFERROR(IF('IP Input Sheet'!D26&lt;&gt;"",'IP Input Sheet'!D26,IF('IP Input Sheet'!E26&lt;&gt;"",'IP Input Sheet'!E26,'IP Input Sheet'!F26)),"[Enter IP]")</f>
        <v>10.3.111.133</v>
      </c>
      <c r="G68" s="32" t="s">
        <v>419</v>
      </c>
      <c r="H68" s="32" t="s">
        <v>252</v>
      </c>
      <c r="I68" s="32" t="s">
        <v>526</v>
      </c>
      <c r="J68" s="22" t="s">
        <v>254</v>
      </c>
      <c r="K68" s="27" t="s">
        <v>255</v>
      </c>
      <c r="L68" s="32" t="s">
        <v>261</v>
      </c>
      <c r="M68" s="32" t="s">
        <v>527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8.5" customHeight="1">
      <c r="A69" s="33" t="s">
        <v>528</v>
      </c>
      <c r="B69" s="33" t="s">
        <v>529</v>
      </c>
      <c r="C69" s="29" t="s">
        <v>530</v>
      </c>
      <c r="D69" s="29" t="str">
        <f>IFERROR(IF('IP Input Sheet'!D15&lt;&gt;"",'IP Input Sheet'!D15,IF('IP Input Sheet'!E15&lt;&gt;"",'IP Input Sheet'!E15,'IP Input Sheet'!F15)),"[Enter IP]")</f>
        <v>10.3.118.0/24</v>
      </c>
      <c r="E69" s="29" t="s">
        <v>531</v>
      </c>
      <c r="F69" s="29" t="str">
        <f>IFERROR(IF('IP Input Sheet'!D15&lt;&gt;"",'IP Input Sheet'!D15,IF('IP Input Sheet'!E15&lt;&gt;"",'IP Input Sheet'!E15,'IP Input Sheet'!F15)),"[Enter IP]")</f>
        <v>10.3.118.0/24</v>
      </c>
      <c r="G69" s="29" t="s">
        <v>532</v>
      </c>
      <c r="H69" s="29" t="s">
        <v>252</v>
      </c>
      <c r="I69" s="29" t="s">
        <v>533</v>
      </c>
      <c r="J69" s="22" t="s">
        <v>254</v>
      </c>
      <c r="K69" s="29" t="s">
        <v>255</v>
      </c>
      <c r="L69" s="29" t="s">
        <v>261</v>
      </c>
      <c r="M69" s="29" t="s">
        <v>534</v>
      </c>
      <c r="N69" s="30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9.25" customHeight="1">
      <c r="A70" s="26" t="s">
        <v>535</v>
      </c>
      <c r="B70" s="34" t="s">
        <v>536</v>
      </c>
      <c r="C70" s="26" t="s">
        <v>10</v>
      </c>
      <c r="D70" s="26" t="str">
        <f>IFERROR(IF('IP Input Sheet'!D5&lt;&gt;"",'IP Input Sheet'!D5,IF('IP Input Sheet'!E5&lt;&gt;"",'IP Input Sheet'!E5,'IP Input Sheet'!F5)),"[Enter IP]")</f>
        <v>10.5.25.86</v>
      </c>
      <c r="E70" s="26" t="s">
        <v>537</v>
      </c>
      <c r="F70" s="26" t="str">
        <f>IFERROR(IF('IP Input Sheet'!D13&lt;&gt;"",'IP Input Sheet'!D13,IF('IP Input Sheet'!E13&lt;&gt;"",'IP Input Sheet'!E13,'IP Input Sheet'!F13)),"[Enter IP]")</f>
        <v>10.3.118.18</v>
      </c>
      <c r="G70" s="26" t="s">
        <v>538</v>
      </c>
      <c r="H70" s="26" t="s">
        <v>252</v>
      </c>
      <c r="I70" s="26" t="s">
        <v>539</v>
      </c>
      <c r="J70" s="22" t="s">
        <v>254</v>
      </c>
      <c r="K70" s="27" t="s">
        <v>255</v>
      </c>
      <c r="L70" s="26" t="s">
        <v>256</v>
      </c>
      <c r="M70" s="26" t="s">
        <v>540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0" customHeight="1">
      <c r="A71" s="28" t="s">
        <v>541</v>
      </c>
      <c r="B71" s="34" t="s">
        <v>542</v>
      </c>
      <c r="C71" s="28" t="s">
        <v>10</v>
      </c>
      <c r="D71" s="28" t="str">
        <f>IFERROR(IF('IP Input Sheet'!D5&lt;&gt;"",'IP Input Sheet'!D5,IF('IP Input Sheet'!E5&lt;&gt;"",'IP Input Sheet'!E5,'IP Input Sheet'!F5)),"[Enter IP]")</f>
        <v>10.5.25.86</v>
      </c>
      <c r="E71" s="28" t="s">
        <v>543</v>
      </c>
      <c r="F71" s="28" t="str">
        <f>IFERROR(IF('IP Input Sheet'!D16&lt;&gt;"",'IP Input Sheet'!D16,IF('IP Input Sheet'!E16&lt;&gt;"",'IP Input Sheet'!E16,'IP Input Sheet'!F16)),"[Enter IP]")</f>
        <v>10.3.118.30</v>
      </c>
      <c r="G71" s="28" t="s">
        <v>538</v>
      </c>
      <c r="H71" s="28" t="s">
        <v>252</v>
      </c>
      <c r="I71" s="28" t="s">
        <v>544</v>
      </c>
      <c r="J71" s="22" t="s">
        <v>254</v>
      </c>
      <c r="K71" s="27" t="s">
        <v>255</v>
      </c>
      <c r="L71" s="28" t="s">
        <v>256</v>
      </c>
      <c r="M71" s="28" t="s">
        <v>545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6" t="s">
        <v>546</v>
      </c>
      <c r="B72" s="34" t="s">
        <v>547</v>
      </c>
      <c r="C72" s="26" t="s">
        <v>10</v>
      </c>
      <c r="D72" s="26" t="str">
        <f>IFERROR(IF('IP Input Sheet'!D5&lt;&gt;"",'IP Input Sheet'!D5,IF('IP Input Sheet'!E5&lt;&gt;"",'IP Input Sheet'!E5,'IP Input Sheet'!F5)),"[Enter IP]")</f>
        <v>10.5.25.86</v>
      </c>
      <c r="E72" s="26" t="s">
        <v>548</v>
      </c>
      <c r="F72" s="26" t="str">
        <f>IFERROR(IF('IP Input Sheet'!D14&lt;&gt;"",'IP Input Sheet'!D14,IF('IP Input Sheet'!E14&lt;&gt;"",'IP Input Sheet'!E14,'IP Input Sheet'!F14)),"[Enter IP]")</f>
        <v>10.3.118.0/24</v>
      </c>
      <c r="G72" s="26" t="s">
        <v>538</v>
      </c>
      <c r="H72" s="26" t="s">
        <v>252</v>
      </c>
      <c r="I72" s="26" t="s">
        <v>549</v>
      </c>
      <c r="J72" s="22" t="s">
        <v>254</v>
      </c>
      <c r="K72" s="27" t="s">
        <v>255</v>
      </c>
      <c r="L72" s="26" t="s">
        <v>256</v>
      </c>
      <c r="M72" s="26" t="s">
        <v>550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6.25" customHeight="1">
      <c r="A73" s="28" t="s">
        <v>551</v>
      </c>
      <c r="B73" s="34" t="s">
        <v>552</v>
      </c>
      <c r="C73" s="28" t="s">
        <v>18</v>
      </c>
      <c r="D73" s="28" t="str">
        <f>IFERROR(IF('IP Input Sheet'!D7&lt;&gt;"",'IP Input Sheet'!D7,IF('IP Input Sheet'!E7&lt;&gt;"",'IP Input Sheet'!E7,'IP Input Sheet'!F7)),"[Enter IP]")</f>
        <v>10.5.25.64/26</v>
      </c>
      <c r="E73" s="28" t="s">
        <v>553</v>
      </c>
      <c r="F73" s="28" t="str">
        <f>IFERROR(IF('IP Input Sheet'!D13&lt;&gt;"",'IP Input Sheet'!D13,IF('IP Input Sheet'!E13&lt;&gt;"",'IP Input Sheet'!E13,'IP Input Sheet'!F13)),"[Enter IP]")</f>
        <v>10.3.118.18</v>
      </c>
      <c r="G73" s="28" t="s">
        <v>538</v>
      </c>
      <c r="H73" s="28" t="s">
        <v>252</v>
      </c>
      <c r="I73" s="28" t="s">
        <v>554</v>
      </c>
      <c r="J73" s="22" t="s">
        <v>254</v>
      </c>
      <c r="K73" s="27" t="s">
        <v>255</v>
      </c>
      <c r="L73" s="28" t="s">
        <v>256</v>
      </c>
      <c r="M73" s="28" t="s">
        <v>555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75" customHeight="1">
      <c r="A74" s="26" t="s">
        <v>556</v>
      </c>
      <c r="B74" s="34" t="s">
        <v>557</v>
      </c>
      <c r="C74" s="26" t="s">
        <v>558</v>
      </c>
      <c r="D74" s="26" t="str">
        <f>IFERROR(IF('IP Input Sheet'!D20&lt;&gt;"",'IP Input Sheet'!D20,IF('IP Input Sheet'!E20&lt;&gt;"",'IP Input Sheet'!E20,'IP Input Sheet'!F20)),"[Enter IP]")</f>
        <v>192.168.188.1</v>
      </c>
      <c r="E74" s="26" t="s">
        <v>559</v>
      </c>
      <c r="F74" s="26" t="str">
        <f>IFERROR(IF('IP Input Sheet'!D13&lt;&gt;"",'IP Input Sheet'!D13,IF('IP Input Sheet'!E13&lt;&gt;"",'IP Input Sheet'!E13,'IP Input Sheet'!F13)),"[Enter IP]")</f>
        <v>10.3.118.18</v>
      </c>
      <c r="G74" s="26" t="s">
        <v>560</v>
      </c>
      <c r="H74" s="26" t="s">
        <v>252</v>
      </c>
      <c r="I74" s="26" t="s">
        <v>561</v>
      </c>
      <c r="J74" s="22" t="s">
        <v>254</v>
      </c>
      <c r="K74" s="27" t="s">
        <v>255</v>
      </c>
      <c r="L74" s="26" t="s">
        <v>261</v>
      </c>
      <c r="M74" s="26" t="s">
        <v>562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2.25" customHeight="1">
      <c r="A75" s="28" t="s">
        <v>563</v>
      </c>
      <c r="B75" s="34" t="s">
        <v>564</v>
      </c>
      <c r="C75" s="28" t="s">
        <v>565</v>
      </c>
      <c r="D75" s="28" t="s">
        <v>566</v>
      </c>
      <c r="E75" s="28" t="s">
        <v>567</v>
      </c>
      <c r="F75" s="28" t="str">
        <f>IFERROR(IF('IP Input Sheet'!D20&lt;&gt;"",'IP Input Sheet'!D20,IF('IP Input Sheet'!E20&lt;&gt;"",'IP Input Sheet'!E20,'IP Input Sheet'!F20)),"[Enter IP]")</f>
        <v>192.168.188.1</v>
      </c>
      <c r="G75" s="28" t="s">
        <v>560</v>
      </c>
      <c r="H75" s="28" t="s">
        <v>252</v>
      </c>
      <c r="I75" s="28" t="s">
        <v>568</v>
      </c>
      <c r="J75" s="22" t="s">
        <v>254</v>
      </c>
      <c r="K75" s="27" t="s">
        <v>255</v>
      </c>
      <c r="L75" s="28" t="s">
        <v>569</v>
      </c>
      <c r="M75" s="28" t="s">
        <v>570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1"/>
      <c r="B77" s="35" t="s">
        <v>571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8.5" customHeight="1">
      <c r="A78" s="21" t="s">
        <v>572</v>
      </c>
      <c r="B78" s="21" t="s">
        <v>573</v>
      </c>
      <c r="C78" s="21" t="s">
        <v>574</v>
      </c>
      <c r="D78" s="21" t="str">
        <f>IFERROR(IF('IP Input Sheet'!D20&lt;&gt;"",'IP Input Sheet'!D20,IF('IP Input Sheet'!E20&lt;&gt;"",'IP Input Sheet'!E20,'IP Input Sheet'!F20)),"[Enter IP]")</f>
        <v>192.168.188.1</v>
      </c>
      <c r="E78" s="21" t="s">
        <v>36</v>
      </c>
      <c r="F78" s="21" t="str">
        <f>IFERROR(IF('IP Input Sheet'!D13&lt;&gt;"",'IP Input Sheet'!D13,IF('IP Input Sheet'!E13&lt;&gt;"",'IP Input Sheet'!E13,'IP Input Sheet'!F13)),"[Enter IP]")</f>
        <v>10.3.118.18</v>
      </c>
      <c r="G78" s="21" t="s">
        <v>251</v>
      </c>
      <c r="H78" s="21" t="s">
        <v>252</v>
      </c>
      <c r="I78" s="21" t="s">
        <v>575</v>
      </c>
      <c r="J78" s="22" t="s">
        <v>254</v>
      </c>
      <c r="K78" s="23" t="s">
        <v>255</v>
      </c>
      <c r="L78" s="21" t="s">
        <v>256</v>
      </c>
      <c r="M78" s="21" t="s">
        <v>576</v>
      </c>
      <c r="N78" s="26" t="s">
        <v>577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8.5" customHeight="1">
      <c r="A79" s="21" t="s">
        <v>578</v>
      </c>
      <c r="B79" s="21" t="s">
        <v>579</v>
      </c>
      <c r="C79" s="21" t="s">
        <v>574</v>
      </c>
      <c r="D79" s="21" t="str">
        <f>IFERROR(IF('IP Input Sheet'!D20&lt;&gt;"",'IP Input Sheet'!D20,IF('IP Input Sheet'!E20&lt;&gt;"",'IP Input Sheet'!E20,'IP Input Sheet'!F20)),"[Enter IP]")</f>
        <v>192.168.188.1</v>
      </c>
      <c r="E79" s="21" t="s">
        <v>537</v>
      </c>
      <c r="F79" s="21" t="str">
        <f>IFERROR(IF('IP Input Sheet'!D13&lt;&gt;"",'IP Input Sheet'!D13,IF('IP Input Sheet'!E13&lt;&gt;"",'IP Input Sheet'!E13,'IP Input Sheet'!F13)),"[Enter IP]")</f>
        <v>10.3.118.18</v>
      </c>
      <c r="G79" s="21" t="s">
        <v>538</v>
      </c>
      <c r="H79" s="21" t="s">
        <v>252</v>
      </c>
      <c r="I79" s="21" t="s">
        <v>580</v>
      </c>
      <c r="J79" s="22" t="s">
        <v>254</v>
      </c>
      <c r="K79" s="23" t="s">
        <v>255</v>
      </c>
      <c r="L79" s="21" t="s">
        <v>256</v>
      </c>
      <c r="M79" s="21" t="s">
        <v>581</v>
      </c>
      <c r="N79" s="26" t="s">
        <v>582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6.25" customHeight="1">
      <c r="A80" s="21" t="s">
        <v>583</v>
      </c>
      <c r="B80" s="21" t="s">
        <v>584</v>
      </c>
      <c r="C80" s="21" t="s">
        <v>574</v>
      </c>
      <c r="D80" s="21" t="str">
        <f>IFERROR(IF('IP Input Sheet'!D20&lt;&gt;"",'IP Input Sheet'!D20,IF('IP Input Sheet'!E20&lt;&gt;"",'IP Input Sheet'!E20,'IP Input Sheet'!F20)),"[Enter IP]")</f>
        <v>192.168.188.1</v>
      </c>
      <c r="E80" s="21" t="s">
        <v>585</v>
      </c>
      <c r="F80" s="21" t="str">
        <f>IFERROR(IF('IP Input Sheet'!D18&lt;&gt;"",'IP Input Sheet'!D18,IF('IP Input Sheet'!E18&lt;&gt;"",'IP Input Sheet'!E18,'IP Input Sheet'!F18)),"[Enter IP]")</f>
        <v>10.3.118.0/24</v>
      </c>
      <c r="G80" s="21" t="s">
        <v>356</v>
      </c>
      <c r="H80" s="21" t="s">
        <v>272</v>
      </c>
      <c r="I80" s="21" t="s">
        <v>586</v>
      </c>
      <c r="J80" s="22" t="s">
        <v>254</v>
      </c>
      <c r="K80" s="23" t="s">
        <v>255</v>
      </c>
      <c r="L80" s="21" t="s">
        <v>261</v>
      </c>
      <c r="M80" s="21" t="s">
        <v>587</v>
      </c>
      <c r="N80" s="26" t="s">
        <v>588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1" t="s">
        <v>589</v>
      </c>
      <c r="B81" s="21" t="s">
        <v>590</v>
      </c>
      <c r="C81" s="21" t="s">
        <v>574</v>
      </c>
      <c r="D81" s="21" t="str">
        <f>IFERROR(IF('IP Input Sheet'!D20&lt;&gt;"",'IP Input Sheet'!D20,IF('IP Input Sheet'!E20&lt;&gt;"",'IP Input Sheet'!E20,'IP Input Sheet'!F20)),"[Enter IP]")</f>
        <v>192.168.188.1</v>
      </c>
      <c r="E81" s="21" t="s">
        <v>585</v>
      </c>
      <c r="F81" s="21" t="str">
        <f>IFERROR(IF('IP Input Sheet'!D18&lt;&gt;"",'IP Input Sheet'!D18,IF('IP Input Sheet'!E18&lt;&gt;"",'IP Input Sheet'!E18,'IP Input Sheet'!F18)),"[Enter IP]")</f>
        <v>10.3.118.0/24</v>
      </c>
      <c r="G81" s="21" t="s">
        <v>591</v>
      </c>
      <c r="H81" s="21" t="s">
        <v>252</v>
      </c>
      <c r="I81" s="21" t="s">
        <v>592</v>
      </c>
      <c r="J81" s="22" t="s">
        <v>254</v>
      </c>
      <c r="K81" s="23" t="s">
        <v>255</v>
      </c>
      <c r="L81" s="21" t="s">
        <v>261</v>
      </c>
      <c r="M81" s="21" t="s">
        <v>588</v>
      </c>
      <c r="N81" s="26" t="s">
        <v>593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1" t="s">
        <v>594</v>
      </c>
      <c r="B82" s="21" t="s">
        <v>595</v>
      </c>
      <c r="C82" s="21" t="s">
        <v>574</v>
      </c>
      <c r="D82" s="21" t="str">
        <f>IFERROR(IF('IP Input Sheet'!D20&lt;&gt;"",'IP Input Sheet'!D20,IF('IP Input Sheet'!E20&lt;&gt;"",'IP Input Sheet'!E20,'IP Input Sheet'!F20)),"[Enter IP]")</f>
        <v>192.168.188.1</v>
      </c>
      <c r="E82" s="21" t="s">
        <v>585</v>
      </c>
      <c r="F82" s="21" t="str">
        <f>IFERROR(IF('IP Input Sheet'!D18&lt;&gt;"",'IP Input Sheet'!D18,IF('IP Input Sheet'!E18&lt;&gt;"",'IP Input Sheet'!E18,'IP Input Sheet'!F18)),"[Enter IP]")</f>
        <v>10.3.118.0/24</v>
      </c>
      <c r="G82" s="21" t="s">
        <v>596</v>
      </c>
      <c r="H82" s="21" t="s">
        <v>252</v>
      </c>
      <c r="I82" s="21" t="s">
        <v>597</v>
      </c>
      <c r="J82" s="22" t="s">
        <v>254</v>
      </c>
      <c r="K82" s="23" t="s">
        <v>255</v>
      </c>
      <c r="L82" s="21" t="s">
        <v>261</v>
      </c>
      <c r="M82" s="21" t="s">
        <v>593</v>
      </c>
      <c r="N82" s="26" t="s">
        <v>598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6.25" customHeight="1">
      <c r="A83" s="21" t="s">
        <v>599</v>
      </c>
      <c r="B83" s="21" t="s">
        <v>600</v>
      </c>
      <c r="C83" s="21" t="s">
        <v>574</v>
      </c>
      <c r="D83" s="21" t="str">
        <f>IFERROR(IF('IP Input Sheet'!D20&lt;&gt;"",'IP Input Sheet'!D20,IF('IP Input Sheet'!E20&lt;&gt;"",'IP Input Sheet'!E20,'IP Input Sheet'!F20)),"[Enter IP]")</f>
        <v>192.168.188.1</v>
      </c>
      <c r="E83" s="21" t="s">
        <v>585</v>
      </c>
      <c r="F83" s="21" t="str">
        <f>IFERROR(IF('IP Input Sheet'!D18&lt;&gt;"",'IP Input Sheet'!D18,IF('IP Input Sheet'!E18&lt;&gt;"",'IP Input Sheet'!E18,'IP Input Sheet'!F18)),"[Enter IP]")</f>
        <v>10.3.118.0/24</v>
      </c>
      <c r="G83" s="21" t="s">
        <v>601</v>
      </c>
      <c r="H83" s="21" t="s">
        <v>252</v>
      </c>
      <c r="I83" s="21" t="s">
        <v>602</v>
      </c>
      <c r="J83" s="22" t="s">
        <v>254</v>
      </c>
      <c r="K83" s="23" t="s">
        <v>255</v>
      </c>
      <c r="L83" s="21" t="s">
        <v>261</v>
      </c>
      <c r="M83" s="21" t="s">
        <v>603</v>
      </c>
      <c r="N83" s="26" t="s">
        <v>604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75" customHeight="1">
      <c r="A84" s="21" t="s">
        <v>605</v>
      </c>
      <c r="B84" s="21" t="s">
        <v>606</v>
      </c>
      <c r="C84" s="21" t="s">
        <v>574</v>
      </c>
      <c r="D84" s="21" t="str">
        <f>IFERROR(IF('IP Input Sheet'!D20&lt;&gt;"",'IP Input Sheet'!D20,IF('IP Input Sheet'!E20&lt;&gt;"",'IP Input Sheet'!E20,'IP Input Sheet'!F20)),"[Enter IP]")</f>
        <v>192.168.188.1</v>
      </c>
      <c r="E84" s="21" t="s">
        <v>203</v>
      </c>
      <c r="F84" s="21" t="str">
        <f>'IP Input Sheet'!D60</f>
        <v/>
      </c>
      <c r="G84" s="21" t="s">
        <v>271</v>
      </c>
      <c r="H84" s="21" t="s">
        <v>272</v>
      </c>
      <c r="I84" s="21" t="s">
        <v>273</v>
      </c>
      <c r="J84" s="22" t="s">
        <v>254</v>
      </c>
      <c r="K84" s="23" t="s">
        <v>255</v>
      </c>
      <c r="L84" s="21" t="s">
        <v>256</v>
      </c>
      <c r="M84" s="21" t="s">
        <v>607</v>
      </c>
      <c r="N84" s="26" t="s">
        <v>608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21" t="s">
        <v>609</v>
      </c>
      <c r="B85" s="21" t="s">
        <v>610</v>
      </c>
      <c r="C85" s="21" t="s">
        <v>574</v>
      </c>
      <c r="D85" s="21" t="str">
        <f>IFERROR(IF('IP Input Sheet'!D20&lt;&gt;"",'IP Input Sheet'!D20,IF('IP Input Sheet'!E20&lt;&gt;"",'IP Input Sheet'!E20,'IP Input Sheet'!F20)),"[Enter IP]")</f>
        <v>192.168.188.1</v>
      </c>
      <c r="E85" s="21" t="s">
        <v>207</v>
      </c>
      <c r="F85" s="21" t="str">
        <f>'IP Input Sheet'!D61</f>
        <v/>
      </c>
      <c r="G85" s="21" t="s">
        <v>277</v>
      </c>
      <c r="H85" s="21" t="s">
        <v>278</v>
      </c>
      <c r="I85" s="21" t="s">
        <v>611</v>
      </c>
      <c r="J85" s="22" t="s">
        <v>254</v>
      </c>
      <c r="K85" s="23" t="s">
        <v>255</v>
      </c>
      <c r="L85" s="21" t="s">
        <v>256</v>
      </c>
      <c r="M85" s="21" t="s">
        <v>612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75" customHeight="1">
      <c r="A86" s="36" t="s">
        <v>613</v>
      </c>
      <c r="B86" s="36" t="s">
        <v>614</v>
      </c>
      <c r="C86" s="36" t="s">
        <v>574</v>
      </c>
      <c r="D86" s="36" t="str">
        <f>IFERROR(IF('IP Input Sheet'!D20&lt;&gt;"",'IP Input Sheet'!D20,IF('IP Input Sheet'!E20&lt;&gt;"",'IP Input Sheet'!E20,'IP Input Sheet'!F20)),"[Enter IP]")</f>
        <v>192.168.188.1</v>
      </c>
      <c r="E86" s="36" t="s">
        <v>615</v>
      </c>
      <c r="F86" s="36" t="str">
        <f>IFERROR(IF('IP Input Sheet'!D13&lt;&gt;"",'IP Input Sheet'!D13,IF('IP Input Sheet'!E13&lt;&gt;"",'IP Input Sheet'!E13,'IP Input Sheet'!F13)),"[Enter IP]")</f>
        <v>10.3.118.18</v>
      </c>
      <c r="G86" s="36" t="s">
        <v>616</v>
      </c>
      <c r="H86" s="36" t="s">
        <v>252</v>
      </c>
      <c r="I86" s="36" t="s">
        <v>617</v>
      </c>
      <c r="J86" s="22" t="s">
        <v>254</v>
      </c>
      <c r="K86" s="36" t="s">
        <v>255</v>
      </c>
      <c r="L86" s="36" t="s">
        <v>256</v>
      </c>
      <c r="M86" s="36" t="s">
        <v>618</v>
      </c>
      <c r="N86" s="30"/>
    </row>
    <row r="87" ht="26.25" customHeight="1">
      <c r="A87" s="36" t="s">
        <v>619</v>
      </c>
      <c r="B87" s="36" t="s">
        <v>620</v>
      </c>
      <c r="C87" s="36" t="s">
        <v>574</v>
      </c>
      <c r="D87" s="36" t="str">
        <f>IFERROR(IF('IP Input Sheet'!D20&lt;&gt;"",'IP Input Sheet'!D20,IF('IP Input Sheet'!E20&lt;&gt;"",'IP Input Sheet'!E20,'IP Input Sheet'!F20)),"[Enter IP]")</f>
        <v>192.168.188.1</v>
      </c>
      <c r="E87" s="36" t="s">
        <v>621</v>
      </c>
      <c r="F87" s="36" t="str">
        <f>IFERROR(IF('IP Input Sheet'!D13&lt;&gt;"",'IP Input Sheet'!D13,IF('IP Input Sheet'!E13&lt;&gt;"",'IP Input Sheet'!E13,'IP Input Sheet'!F13)),"[Enter IP]")</f>
        <v>10.3.118.18</v>
      </c>
      <c r="G87" s="36" t="s">
        <v>340</v>
      </c>
      <c r="H87" s="36" t="s">
        <v>252</v>
      </c>
      <c r="I87" s="36" t="s">
        <v>622</v>
      </c>
      <c r="J87" s="22" t="s">
        <v>254</v>
      </c>
      <c r="K87" s="36" t="s">
        <v>255</v>
      </c>
      <c r="L87" s="36" t="s">
        <v>256</v>
      </c>
      <c r="M87" s="36" t="s">
        <v>623</v>
      </c>
      <c r="N87" s="30"/>
    </row>
    <row r="88" ht="30.0" customHeight="1">
      <c r="A88" s="36" t="s">
        <v>624</v>
      </c>
      <c r="B88" s="36" t="s">
        <v>625</v>
      </c>
      <c r="C88" s="36" t="s">
        <v>626</v>
      </c>
      <c r="D88" s="36" t="str">
        <f>IFERROR(IF('IP Input Sheet'!D20&lt;&gt;"",'IP Input Sheet'!D20,IF('IP Input Sheet'!E20&lt;&gt;"",'IP Input Sheet'!E20,'IP Input Sheet'!F20)),"[Enter IP]")</f>
        <v>192.168.188.1</v>
      </c>
      <c r="E88" s="36" t="s">
        <v>627</v>
      </c>
      <c r="F88" s="36" t="str">
        <f>IFERROR(IF('IP Input Sheet'!D18&lt;&gt;"",'IP Input Sheet'!D18,IF('IP Input Sheet'!E18&lt;&gt;"",'IP Input Sheet'!E18,'IP Input Sheet'!F18)),"[Enter IP]")</f>
        <v>10.3.118.0/24</v>
      </c>
      <c r="G88" s="36" t="s">
        <v>628</v>
      </c>
      <c r="H88" s="36" t="s">
        <v>629</v>
      </c>
      <c r="I88" s="36" t="s">
        <v>630</v>
      </c>
      <c r="J88" s="22" t="s">
        <v>254</v>
      </c>
      <c r="K88" s="36" t="s">
        <v>255</v>
      </c>
      <c r="L88" s="36" t="s">
        <v>261</v>
      </c>
      <c r="M88" s="36" t="s">
        <v>631</v>
      </c>
      <c r="N88" s="30"/>
    </row>
    <row r="89" ht="30.0" customHeight="1">
      <c r="A89" s="36" t="s">
        <v>632</v>
      </c>
      <c r="B89" s="36" t="s">
        <v>633</v>
      </c>
      <c r="C89" s="36" t="s">
        <v>634</v>
      </c>
      <c r="D89" s="36" t="str">
        <f>IFERROR(IF('IP Input Sheet'!D18&lt;&gt;"",'IP Input Sheet'!D18,IF('IP Input Sheet'!E18&lt;&gt;"",'IP Input Sheet'!E18,'IP Input Sheet'!F18)),"[Enter IP]")</f>
        <v>10.3.118.0/24</v>
      </c>
      <c r="E89" s="36" t="s">
        <v>626</v>
      </c>
      <c r="F89" s="36" t="str">
        <f>IFERROR(IF('IP Input Sheet'!D20&lt;&gt;"",'IP Input Sheet'!D20,IF('IP Input Sheet'!E20&lt;&gt;"",'IP Input Sheet'!E20,'IP Input Sheet'!F20)),"[Enter IP]")</f>
        <v>192.168.188.1</v>
      </c>
      <c r="G89" s="36" t="s">
        <v>635</v>
      </c>
      <c r="H89" s="36" t="s">
        <v>252</v>
      </c>
      <c r="I89" s="36" t="s">
        <v>636</v>
      </c>
      <c r="J89" s="22" t="s">
        <v>254</v>
      </c>
      <c r="K89" s="36" t="s">
        <v>255</v>
      </c>
      <c r="L89" s="36" t="s">
        <v>261</v>
      </c>
      <c r="M89" s="36" t="s">
        <v>637</v>
      </c>
      <c r="N89" s="30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mergeCells count="3">
    <mergeCell ref="A1:M1"/>
    <mergeCell ref="A2:M2"/>
    <mergeCell ref="A65:M6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2.0"/>
    <col customWidth="1" min="3" max="3" width="28.0"/>
    <col customWidth="1" min="4" max="4" width="24.0"/>
    <col customWidth="1" min="5" max="5" width="28.0"/>
    <col customWidth="1" min="6" max="6" width="24.0"/>
    <col customWidth="1" min="7" max="7" width="12.0"/>
    <col customWidth="1" min="8" max="8" width="10.0"/>
    <col customWidth="1" min="9" max="9" width="34.0"/>
    <col customWidth="1" min="10" max="10" width="8.0"/>
    <col customWidth="1" min="11" max="12" width="14.0"/>
    <col customWidth="1" min="13" max="13" width="38.0"/>
    <col customWidth="1" min="14" max="14" width="14.57"/>
  </cols>
  <sheetData>
    <row r="1" ht="15.75" customHeight="1">
      <c r="A1" s="20" t="s">
        <v>638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236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  <c r="I3" s="4" t="s">
        <v>244</v>
      </c>
      <c r="J3" s="4" t="s">
        <v>245</v>
      </c>
      <c r="K3" s="4" t="s">
        <v>246</v>
      </c>
      <c r="L3" s="4" t="s">
        <v>247</v>
      </c>
      <c r="M3" s="4" t="s">
        <v>248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1" t="s">
        <v>639</v>
      </c>
      <c r="B4" s="21" t="s">
        <v>640</v>
      </c>
      <c r="C4" s="21" t="s">
        <v>36</v>
      </c>
      <c r="D4" s="21" t="str">
        <f>IFERROR(IF('IP Input Sheet'!D13&lt;&gt;"",'IP Input Sheet'!D13,IF('IP Input Sheet'!E13&lt;&gt;"",'IP Input Sheet'!E13,'IP Input Sheet'!F13)),"[Enter IP]")</f>
        <v>10.3.118.18</v>
      </c>
      <c r="E4" s="21" t="s">
        <v>641</v>
      </c>
      <c r="F4" s="21" t="str">
        <f>IFERROR(IF('IP Input Sheet'!D5&lt;&gt;"",'IP Input Sheet'!D5,IF('IP Input Sheet'!E5&lt;&gt;"",'IP Input Sheet'!E5,'IP Input Sheet'!F5)),"[Enter IP]")</f>
        <v>10.5.25.86</v>
      </c>
      <c r="G4" s="21" t="s">
        <v>251</v>
      </c>
      <c r="H4" s="21" t="s">
        <v>252</v>
      </c>
      <c r="I4" s="21" t="s">
        <v>642</v>
      </c>
      <c r="J4" s="22" t="s">
        <v>254</v>
      </c>
      <c r="K4" s="23" t="s">
        <v>255</v>
      </c>
      <c r="L4" s="21" t="s">
        <v>256</v>
      </c>
      <c r="M4" s="21" t="s">
        <v>643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4" t="s">
        <v>644</v>
      </c>
      <c r="B5" s="24" t="s">
        <v>645</v>
      </c>
      <c r="C5" s="24" t="s">
        <v>36</v>
      </c>
      <c r="D5" s="24" t="str">
        <f>IFERROR(IF('IP Input Sheet'!D13&lt;&gt;"",'IP Input Sheet'!D13,IF('IP Input Sheet'!E13&lt;&gt;"",'IP Input Sheet'!E13,'IP Input Sheet'!F13)),"[Enter IP]")</f>
        <v>10.3.118.18</v>
      </c>
      <c r="E5" s="24" t="s">
        <v>14</v>
      </c>
      <c r="F5" s="24" t="str">
        <f>IFERROR(IF('IP Input Sheet'!D6&lt;&gt;"",'IP Input Sheet'!D6,IF('IP Input Sheet'!E6&lt;&gt;"",'IP Input Sheet'!E6,'IP Input Sheet'!F6)),"[Enter IP]")</f>
        <v>10.5.25.64/26</v>
      </c>
      <c r="G5" s="24" t="s">
        <v>251</v>
      </c>
      <c r="H5" s="24" t="s">
        <v>252</v>
      </c>
      <c r="I5" s="24" t="s">
        <v>646</v>
      </c>
      <c r="J5" s="22" t="s">
        <v>254</v>
      </c>
      <c r="K5" s="23" t="s">
        <v>255</v>
      </c>
      <c r="L5" s="24" t="s">
        <v>261</v>
      </c>
      <c r="M5" s="2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1" t="s">
        <v>647</v>
      </c>
      <c r="B6" s="21" t="s">
        <v>648</v>
      </c>
      <c r="C6" s="21" t="s">
        <v>36</v>
      </c>
      <c r="D6" s="21" t="str">
        <f>IFERROR(IF('IP Input Sheet'!D13&lt;&gt;"",'IP Input Sheet'!D13,IF('IP Input Sheet'!E13&lt;&gt;"",'IP Input Sheet'!E13,'IP Input Sheet'!F13)),"[Enter IP]")</f>
        <v>10.3.118.18</v>
      </c>
      <c r="E6" s="21" t="s">
        <v>14</v>
      </c>
      <c r="F6" s="21" t="str">
        <f>IFERROR(IF('IP Input Sheet'!D6&lt;&gt;"",'IP Input Sheet'!D6,IF('IP Input Sheet'!E6&lt;&gt;"",'IP Input Sheet'!E6,'IP Input Sheet'!F6)),"[Enter IP]")</f>
        <v>10.5.25.64/26</v>
      </c>
      <c r="G6" s="21" t="s">
        <v>649</v>
      </c>
      <c r="H6" s="21" t="s">
        <v>252</v>
      </c>
      <c r="I6" s="21" t="s">
        <v>650</v>
      </c>
      <c r="J6" s="22" t="s">
        <v>254</v>
      </c>
      <c r="K6" s="23" t="s">
        <v>255</v>
      </c>
      <c r="L6" s="21" t="s">
        <v>256</v>
      </c>
      <c r="M6" s="2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4" t="s">
        <v>651</v>
      </c>
      <c r="B7" s="24" t="s">
        <v>652</v>
      </c>
      <c r="C7" s="24" t="s">
        <v>36</v>
      </c>
      <c r="D7" s="24" t="str">
        <f>IFERROR(IF('IP Input Sheet'!D13&lt;&gt;"",'IP Input Sheet'!D13,IF('IP Input Sheet'!E13&lt;&gt;"",'IP Input Sheet'!E13,'IP Input Sheet'!F13)),"[Enter IP]")</f>
        <v>10.3.118.18</v>
      </c>
      <c r="E7" s="24" t="s">
        <v>18</v>
      </c>
      <c r="F7" s="24" t="str">
        <f>IFERROR(IF('IP Input Sheet'!D7&lt;&gt;"",'IP Input Sheet'!D7,IF('IP Input Sheet'!E7&lt;&gt;"",'IP Input Sheet'!E7,'IP Input Sheet'!F7)),"[Enter IP]")</f>
        <v>10.5.25.64/26</v>
      </c>
      <c r="G7" s="24" t="s">
        <v>251</v>
      </c>
      <c r="H7" s="24" t="s">
        <v>252</v>
      </c>
      <c r="I7" s="24" t="s">
        <v>653</v>
      </c>
      <c r="J7" s="22" t="s">
        <v>254</v>
      </c>
      <c r="K7" s="23" t="s">
        <v>255</v>
      </c>
      <c r="L7" s="24" t="s">
        <v>261</v>
      </c>
      <c r="M7" s="2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1" t="s">
        <v>654</v>
      </c>
      <c r="B8" s="21" t="s">
        <v>655</v>
      </c>
      <c r="C8" s="21" t="s">
        <v>36</v>
      </c>
      <c r="D8" s="21" t="str">
        <f>IFERROR(IF('IP Input Sheet'!D13&lt;&gt;"",'IP Input Sheet'!D13,IF('IP Input Sheet'!E13&lt;&gt;"",'IP Input Sheet'!E13,'IP Input Sheet'!F13)),"[Enter IP]")</f>
        <v>10.3.118.18</v>
      </c>
      <c r="E8" s="21" t="s">
        <v>656</v>
      </c>
      <c r="F8" s="21" t="str">
        <f>IFERROR(IF('IP Input Sheet'!D8&lt;&gt;"",'IP Input Sheet'!D8,IF('IP Input Sheet'!E8&lt;&gt;"",'IP Input Sheet'!E8,'IP Input Sheet'!F8)),"[Enter IP]")</f>
        <v>10.5.25.64/26</v>
      </c>
      <c r="G8" s="21" t="s">
        <v>657</v>
      </c>
      <c r="H8" s="21" t="s">
        <v>272</v>
      </c>
      <c r="I8" s="21" t="s">
        <v>658</v>
      </c>
      <c r="J8" s="22" t="s">
        <v>254</v>
      </c>
      <c r="K8" s="23" t="s">
        <v>255</v>
      </c>
      <c r="L8" s="21" t="s">
        <v>256</v>
      </c>
      <c r="M8" s="2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4" t="s">
        <v>659</v>
      </c>
      <c r="B9" s="24" t="s">
        <v>660</v>
      </c>
      <c r="C9" s="24" t="s">
        <v>36</v>
      </c>
      <c r="D9" s="24" t="str">
        <f>IFERROR(IF('IP Input Sheet'!D13&lt;&gt;"",'IP Input Sheet'!D13,IF('IP Input Sheet'!E13&lt;&gt;"",'IP Input Sheet'!E13,'IP Input Sheet'!F13)),"[Enter IP]")</f>
        <v>10.3.118.18</v>
      </c>
      <c r="E9" s="24" t="s">
        <v>656</v>
      </c>
      <c r="F9" s="24" t="str">
        <f>IFERROR(IF('IP Input Sheet'!D8&lt;&gt;"",'IP Input Sheet'!D8,IF('IP Input Sheet'!E8&lt;&gt;"",'IP Input Sheet'!E8,'IP Input Sheet'!F8)),"[Enter IP]")</f>
        <v>10.5.25.64/26</v>
      </c>
      <c r="G9" s="24" t="s">
        <v>661</v>
      </c>
      <c r="H9" s="24" t="s">
        <v>252</v>
      </c>
      <c r="I9" s="24" t="s">
        <v>662</v>
      </c>
      <c r="J9" s="22" t="s">
        <v>254</v>
      </c>
      <c r="K9" s="23" t="s">
        <v>255</v>
      </c>
      <c r="L9" s="24" t="s">
        <v>256</v>
      </c>
      <c r="M9" s="2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1" t="s">
        <v>663</v>
      </c>
      <c r="B10" s="21" t="s">
        <v>664</v>
      </c>
      <c r="C10" s="21" t="s">
        <v>36</v>
      </c>
      <c r="D10" s="21" t="str">
        <f>IFERROR(IF('IP Input Sheet'!D13&lt;&gt;"",'IP Input Sheet'!D13,IF('IP Input Sheet'!E13&lt;&gt;"",'IP Input Sheet'!E13,'IP Input Sheet'!F13)),"[Enter IP]")</f>
        <v>10.3.118.18</v>
      </c>
      <c r="E10" s="21" t="s">
        <v>665</v>
      </c>
      <c r="F10" s="21" t="str">
        <f>IFERROR(IF('IP Input Sheet'!D9&lt;&gt;"",'IP Input Sheet'!D9,IF('IP Input Sheet'!E9&lt;&gt;"",'IP Input Sheet'!E9,'IP Input Sheet'!F9)),"[Enter IP]")</f>
        <v>10.5.25.64/26</v>
      </c>
      <c r="G10" s="21" t="s">
        <v>379</v>
      </c>
      <c r="H10" s="21" t="s">
        <v>278</v>
      </c>
      <c r="I10" s="21" t="s">
        <v>666</v>
      </c>
      <c r="J10" s="22" t="s">
        <v>254</v>
      </c>
      <c r="K10" s="23" t="s">
        <v>255</v>
      </c>
      <c r="L10" s="21" t="s">
        <v>256</v>
      </c>
      <c r="M10" s="21" t="s">
        <v>667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4" t="s">
        <v>668</v>
      </c>
      <c r="B11" s="24" t="s">
        <v>669</v>
      </c>
      <c r="C11" s="24" t="s">
        <v>267</v>
      </c>
      <c r="D11" s="24" t="str">
        <f>IFERROR(IF('IP Input Sheet'!D14&lt;&gt;"",'IP Input Sheet'!D14,IF('IP Input Sheet'!E14&lt;&gt;"",'IP Input Sheet'!E14,'IP Input Sheet'!F14)),"[Enter IP]")</f>
        <v>10.3.118.0/24</v>
      </c>
      <c r="E11" s="24" t="s">
        <v>14</v>
      </c>
      <c r="F11" s="24" t="str">
        <f>IFERROR(IF('IP Input Sheet'!D6&lt;&gt;"",'IP Input Sheet'!D6,IF('IP Input Sheet'!E6&lt;&gt;"",'IP Input Sheet'!E6,'IP Input Sheet'!F6)),"[Enter IP]")</f>
        <v>10.5.25.64/26</v>
      </c>
      <c r="G11" s="24" t="s">
        <v>251</v>
      </c>
      <c r="H11" s="24" t="s">
        <v>252</v>
      </c>
      <c r="I11" s="24" t="s">
        <v>670</v>
      </c>
      <c r="J11" s="22" t="s">
        <v>254</v>
      </c>
      <c r="K11" s="23" t="s">
        <v>255</v>
      </c>
      <c r="L11" s="24" t="s">
        <v>256</v>
      </c>
      <c r="M11" s="2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1" t="s">
        <v>671</v>
      </c>
      <c r="B12" s="21" t="s">
        <v>672</v>
      </c>
      <c r="C12" s="21" t="s">
        <v>267</v>
      </c>
      <c r="D12" s="21" t="str">
        <f>IFERROR(IF('IP Input Sheet'!D14&lt;&gt;"",'IP Input Sheet'!D14,IF('IP Input Sheet'!E14&lt;&gt;"",'IP Input Sheet'!E14,'IP Input Sheet'!F14)),"[Enter IP]")</f>
        <v>10.3.118.0/24</v>
      </c>
      <c r="E12" s="21" t="s">
        <v>656</v>
      </c>
      <c r="F12" s="21" t="str">
        <f>IFERROR(IF('IP Input Sheet'!D8&lt;&gt;"",'IP Input Sheet'!D8,IF('IP Input Sheet'!E8&lt;&gt;"",'IP Input Sheet'!E8,'IP Input Sheet'!F8)),"[Enter IP]")</f>
        <v>10.5.25.64/26</v>
      </c>
      <c r="G12" s="21" t="s">
        <v>657</v>
      </c>
      <c r="H12" s="21" t="s">
        <v>272</v>
      </c>
      <c r="I12" s="21" t="s">
        <v>673</v>
      </c>
      <c r="J12" s="22" t="s">
        <v>254</v>
      </c>
      <c r="K12" s="23" t="s">
        <v>255</v>
      </c>
      <c r="L12" s="21" t="s">
        <v>256</v>
      </c>
      <c r="M12" s="2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4" t="s">
        <v>674</v>
      </c>
      <c r="B13" s="24" t="s">
        <v>675</v>
      </c>
      <c r="C13" s="24" t="s">
        <v>267</v>
      </c>
      <c r="D13" s="24" t="str">
        <f>IFERROR(IF('IP Input Sheet'!D14&lt;&gt;"",'IP Input Sheet'!D14,IF('IP Input Sheet'!E14&lt;&gt;"",'IP Input Sheet'!E14,'IP Input Sheet'!F14)),"[Enter IP]")</f>
        <v>10.3.118.0/24</v>
      </c>
      <c r="E13" s="24" t="s">
        <v>656</v>
      </c>
      <c r="F13" s="24" t="str">
        <f>IFERROR(IF('IP Input Sheet'!D8&lt;&gt;"",'IP Input Sheet'!D8,IF('IP Input Sheet'!E8&lt;&gt;"",'IP Input Sheet'!E8,'IP Input Sheet'!F8)),"[Enter IP]")</f>
        <v>10.5.25.64/26</v>
      </c>
      <c r="G13" s="24" t="s">
        <v>676</v>
      </c>
      <c r="H13" s="24" t="s">
        <v>252</v>
      </c>
      <c r="I13" s="24" t="s">
        <v>662</v>
      </c>
      <c r="J13" s="22" t="s">
        <v>254</v>
      </c>
      <c r="K13" s="23" t="s">
        <v>255</v>
      </c>
      <c r="L13" s="24" t="s">
        <v>256</v>
      </c>
      <c r="M13" s="2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1" t="s">
        <v>677</v>
      </c>
      <c r="B14" s="21" t="s">
        <v>678</v>
      </c>
      <c r="C14" s="21" t="s">
        <v>47</v>
      </c>
      <c r="D14" s="21" t="str">
        <f>IFERROR(IF('IP Input Sheet'!D16&lt;&gt;"",'IP Input Sheet'!D16,IF('IP Input Sheet'!E16&lt;&gt;"",'IP Input Sheet'!E16,'IP Input Sheet'!F16)),"[Enter IP]")</f>
        <v>10.3.118.30</v>
      </c>
      <c r="E14" s="21" t="s">
        <v>641</v>
      </c>
      <c r="F14" s="21" t="str">
        <f>IFERROR(IF('IP Input Sheet'!D5&lt;&gt;"",'IP Input Sheet'!D5,IF('IP Input Sheet'!E5&lt;&gt;"",'IP Input Sheet'!E5,'IP Input Sheet'!F5)),"[Enter IP]")</f>
        <v>10.5.25.86</v>
      </c>
      <c r="G14" s="21" t="s">
        <v>251</v>
      </c>
      <c r="H14" s="21" t="s">
        <v>252</v>
      </c>
      <c r="I14" s="21" t="s">
        <v>679</v>
      </c>
      <c r="J14" s="22" t="s">
        <v>254</v>
      </c>
      <c r="K14" s="23" t="s">
        <v>255</v>
      </c>
      <c r="L14" s="21" t="s">
        <v>256</v>
      </c>
      <c r="M14" s="2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4" t="s">
        <v>680</v>
      </c>
      <c r="B15" s="24" t="s">
        <v>681</v>
      </c>
      <c r="C15" s="24" t="s">
        <v>47</v>
      </c>
      <c r="D15" s="24" t="str">
        <f>IFERROR(IF('IP Input Sheet'!D16&lt;&gt;"",'IP Input Sheet'!D16,IF('IP Input Sheet'!E16&lt;&gt;"",'IP Input Sheet'!E16,'IP Input Sheet'!F16)),"[Enter IP]")</f>
        <v>10.3.118.30</v>
      </c>
      <c r="E15" s="24" t="s">
        <v>641</v>
      </c>
      <c r="F15" s="24" t="str">
        <f>IFERROR(IF('IP Input Sheet'!D5&lt;&gt;"",'IP Input Sheet'!D5,IF('IP Input Sheet'!E5&lt;&gt;"",'IP Input Sheet'!E5,'IP Input Sheet'!F5)),"[Enter IP]")</f>
        <v>10.5.25.86</v>
      </c>
      <c r="G15" s="24" t="s">
        <v>287</v>
      </c>
      <c r="H15" s="24" t="s">
        <v>252</v>
      </c>
      <c r="I15" s="24" t="s">
        <v>682</v>
      </c>
      <c r="J15" s="22" t="s">
        <v>254</v>
      </c>
      <c r="K15" s="23" t="s">
        <v>255</v>
      </c>
      <c r="L15" s="24" t="s">
        <v>256</v>
      </c>
      <c r="M15" s="24" t="s">
        <v>289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1" t="s">
        <v>683</v>
      </c>
      <c r="B16" s="21" t="s">
        <v>684</v>
      </c>
      <c r="C16" s="21" t="s">
        <v>47</v>
      </c>
      <c r="D16" s="21" t="str">
        <f>IFERROR(IF('IP Input Sheet'!D16&lt;&gt;"",'IP Input Sheet'!D16,IF('IP Input Sheet'!E16&lt;&gt;"",'IP Input Sheet'!E16,'IP Input Sheet'!F16)),"[Enter IP]")</f>
        <v>10.3.118.30</v>
      </c>
      <c r="E16" s="21" t="s">
        <v>18</v>
      </c>
      <c r="F16" s="21" t="str">
        <f>IFERROR(IF('IP Input Sheet'!D7&lt;&gt;"",'IP Input Sheet'!D7,IF('IP Input Sheet'!E7&lt;&gt;"",'IP Input Sheet'!E7,'IP Input Sheet'!F7)),"[Enter IP]")</f>
        <v>10.5.25.64/26</v>
      </c>
      <c r="G16" s="21" t="s">
        <v>251</v>
      </c>
      <c r="H16" s="21" t="s">
        <v>252</v>
      </c>
      <c r="I16" s="21" t="s">
        <v>685</v>
      </c>
      <c r="J16" s="22" t="s">
        <v>254</v>
      </c>
      <c r="K16" s="23" t="s">
        <v>255</v>
      </c>
      <c r="L16" s="21" t="s">
        <v>256</v>
      </c>
      <c r="M16" s="2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4" t="s">
        <v>686</v>
      </c>
      <c r="B17" s="24" t="s">
        <v>687</v>
      </c>
      <c r="C17" s="24" t="s">
        <v>47</v>
      </c>
      <c r="D17" s="24" t="str">
        <f>IFERROR(IF('IP Input Sheet'!D16&lt;&gt;"",'IP Input Sheet'!D16,IF('IP Input Sheet'!E16&lt;&gt;"",'IP Input Sheet'!E16,'IP Input Sheet'!F16)),"[Enter IP]")</f>
        <v>10.3.118.30</v>
      </c>
      <c r="E17" s="24" t="s">
        <v>18</v>
      </c>
      <c r="F17" s="24" t="str">
        <f>IFERROR(IF('IP Input Sheet'!D7&lt;&gt;"",'IP Input Sheet'!D7,IF('IP Input Sheet'!E7&lt;&gt;"",'IP Input Sheet'!E7,'IP Input Sheet'!F7)),"[Enter IP]")</f>
        <v>10.5.25.64/26</v>
      </c>
      <c r="G17" s="24" t="s">
        <v>287</v>
      </c>
      <c r="H17" s="24" t="s">
        <v>252</v>
      </c>
      <c r="I17" s="24" t="s">
        <v>688</v>
      </c>
      <c r="J17" s="22" t="s">
        <v>254</v>
      </c>
      <c r="K17" s="23" t="s">
        <v>255</v>
      </c>
      <c r="L17" s="24" t="s">
        <v>256</v>
      </c>
      <c r="M17" s="24" t="s">
        <v>289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1" t="s">
        <v>689</v>
      </c>
      <c r="B18" s="21" t="s">
        <v>690</v>
      </c>
      <c r="C18" s="21" t="s">
        <v>47</v>
      </c>
      <c r="D18" s="21" t="str">
        <f>IFERROR(IF('IP Input Sheet'!D16&lt;&gt;"",'IP Input Sheet'!D16,IF('IP Input Sheet'!E16&lt;&gt;"",'IP Input Sheet'!E16,'IP Input Sheet'!F16)),"[Enter IP]")</f>
        <v>10.3.118.30</v>
      </c>
      <c r="E18" s="21" t="s">
        <v>14</v>
      </c>
      <c r="F18" s="21" t="str">
        <f>IFERROR(IF('IP Input Sheet'!D6&lt;&gt;"",'IP Input Sheet'!D6,IF('IP Input Sheet'!E6&lt;&gt;"",'IP Input Sheet'!E6,'IP Input Sheet'!F6)),"[Enter IP]")</f>
        <v>10.5.25.64/26</v>
      </c>
      <c r="G18" s="21" t="s">
        <v>251</v>
      </c>
      <c r="H18" s="21" t="s">
        <v>252</v>
      </c>
      <c r="I18" s="21" t="s">
        <v>691</v>
      </c>
      <c r="J18" s="22" t="s">
        <v>254</v>
      </c>
      <c r="K18" s="23" t="s">
        <v>255</v>
      </c>
      <c r="L18" s="21" t="s">
        <v>256</v>
      </c>
      <c r="M18" s="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4" t="s">
        <v>692</v>
      </c>
      <c r="B19" s="24" t="s">
        <v>693</v>
      </c>
      <c r="C19" s="24" t="s">
        <v>47</v>
      </c>
      <c r="D19" s="24" t="str">
        <f>IFERROR(IF('IP Input Sheet'!D16&lt;&gt;"",'IP Input Sheet'!D16,IF('IP Input Sheet'!E16&lt;&gt;"",'IP Input Sheet'!E16,'IP Input Sheet'!F16)),"[Enter IP]")</f>
        <v>10.3.118.30</v>
      </c>
      <c r="E19" s="24" t="s">
        <v>14</v>
      </c>
      <c r="F19" s="24" t="str">
        <f>IFERROR(IF('IP Input Sheet'!D6&lt;&gt;"",'IP Input Sheet'!D6,IF('IP Input Sheet'!E6&lt;&gt;"",'IP Input Sheet'!E6,'IP Input Sheet'!F6)),"[Enter IP]")</f>
        <v>10.5.25.64/26</v>
      </c>
      <c r="G19" s="24" t="s">
        <v>287</v>
      </c>
      <c r="H19" s="24" t="s">
        <v>252</v>
      </c>
      <c r="I19" s="24" t="s">
        <v>694</v>
      </c>
      <c r="J19" s="22" t="s">
        <v>254</v>
      </c>
      <c r="K19" s="23" t="s">
        <v>255</v>
      </c>
      <c r="L19" s="24" t="s">
        <v>256</v>
      </c>
      <c r="M19" s="24" t="s">
        <v>289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36" t="s">
        <v>695</v>
      </c>
      <c r="B20" s="36" t="s">
        <v>696</v>
      </c>
      <c r="C20" s="36" t="s">
        <v>47</v>
      </c>
      <c r="D20" s="36" t="str">
        <f>IFERROR(IF('IP Input Sheet'!D16&lt;&gt;"",'IP Input Sheet'!D16,IF('IP Input Sheet'!E16&lt;&gt;"",'IP Input Sheet'!E16,'IP Input Sheet'!F16)),"[Enter IP]")</f>
        <v>10.3.118.30</v>
      </c>
      <c r="E20" s="36" t="s">
        <v>36</v>
      </c>
      <c r="F20" s="36" t="str">
        <f>IFERROR(IF('IP Input Sheet'!D13&lt;&gt;"",'IP Input Sheet'!D13,IF('IP Input Sheet'!E13&lt;&gt;"",'IP Input Sheet'!E13,'IP Input Sheet'!F13)),"[Enter IP]")</f>
        <v>10.3.118.18</v>
      </c>
      <c r="G20" s="36" t="s">
        <v>287</v>
      </c>
      <c r="H20" s="36" t="s">
        <v>252</v>
      </c>
      <c r="I20" s="36" t="s">
        <v>697</v>
      </c>
      <c r="J20" s="22" t="s">
        <v>254</v>
      </c>
      <c r="K20" s="36" t="s">
        <v>255</v>
      </c>
      <c r="L20" s="36" t="s">
        <v>256</v>
      </c>
      <c r="M20" s="37" t="s">
        <v>698</v>
      </c>
      <c r="N20" s="30"/>
    </row>
    <row r="21" ht="30.0" customHeight="1">
      <c r="A21" s="36" t="s">
        <v>699</v>
      </c>
      <c r="B21" s="36" t="s">
        <v>700</v>
      </c>
      <c r="C21" s="36" t="s">
        <v>47</v>
      </c>
      <c r="D21" s="36" t="str">
        <f>IFERROR(IF('IP Input Sheet'!D16&lt;&gt;"",'IP Input Sheet'!D16,IF('IP Input Sheet'!E16&lt;&gt;"",'IP Input Sheet'!E16,'IP Input Sheet'!F16)),"[Enter IP]")</f>
        <v>10.3.118.30</v>
      </c>
      <c r="E21" s="36" t="s">
        <v>282</v>
      </c>
      <c r="F21" s="36" t="str">
        <f>IFERROR(IF('IP Input Sheet'!D54&lt;&gt;"",'IP Input Sheet'!D54,IF('IP Input Sheet'!E54&lt;&gt;"",'IP Input Sheet'!E54,'IP Input Sheet'!F54)),"[Enter IP]")</f>
        <v>10.3.118.0/24</v>
      </c>
      <c r="G21" s="36" t="s">
        <v>287</v>
      </c>
      <c r="H21" s="36" t="s">
        <v>252</v>
      </c>
      <c r="I21" s="36" t="s">
        <v>701</v>
      </c>
      <c r="J21" s="22" t="s">
        <v>254</v>
      </c>
      <c r="K21" s="36" t="s">
        <v>255</v>
      </c>
      <c r="L21" s="36" t="s">
        <v>256</v>
      </c>
      <c r="M21" s="37" t="s">
        <v>702</v>
      </c>
      <c r="N21" s="30"/>
    </row>
    <row r="22" ht="15.0" customHeight="1">
      <c r="A22" s="21" t="s">
        <v>703</v>
      </c>
      <c r="B22" s="21" t="s">
        <v>704</v>
      </c>
      <c r="C22" s="21" t="s">
        <v>47</v>
      </c>
      <c r="D22" s="21" t="str">
        <f>IFERROR(IF('IP Input Sheet'!D16&lt;&gt;"",'IP Input Sheet'!D16,IF('IP Input Sheet'!E16&lt;&gt;"",'IP Input Sheet'!E16,'IP Input Sheet'!F16)),"[Enter IP]")</f>
        <v>10.3.118.30</v>
      </c>
      <c r="E22" s="21" t="s">
        <v>656</v>
      </c>
      <c r="F22" s="21" t="str">
        <f>IFERROR(IF('IP Input Sheet'!D8&lt;&gt;"",'IP Input Sheet'!D8,IF('IP Input Sheet'!E8&lt;&gt;"",'IP Input Sheet'!E8,'IP Input Sheet'!F8)),"[Enter IP]")</f>
        <v>10.5.25.64/26</v>
      </c>
      <c r="G22" s="21" t="s">
        <v>657</v>
      </c>
      <c r="H22" s="21" t="s">
        <v>252</v>
      </c>
      <c r="I22" s="21" t="s">
        <v>705</v>
      </c>
      <c r="J22" s="22" t="s">
        <v>254</v>
      </c>
      <c r="K22" s="23" t="s">
        <v>255</v>
      </c>
      <c r="L22" s="21" t="s">
        <v>256</v>
      </c>
      <c r="M22" s="2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24" t="s">
        <v>706</v>
      </c>
      <c r="B23" s="24" t="s">
        <v>707</v>
      </c>
      <c r="C23" s="24" t="s">
        <v>47</v>
      </c>
      <c r="D23" s="24" t="str">
        <f>IFERROR(IF('IP Input Sheet'!D16&lt;&gt;"",'IP Input Sheet'!D16,IF('IP Input Sheet'!E16&lt;&gt;"",'IP Input Sheet'!E16,'IP Input Sheet'!F16)),"[Enter IP]")</f>
        <v>10.3.118.30</v>
      </c>
      <c r="E23" s="24" t="s">
        <v>656</v>
      </c>
      <c r="F23" s="24" t="str">
        <f>IFERROR(IF('IP Input Sheet'!D8&lt;&gt;"",'IP Input Sheet'!D8,IF('IP Input Sheet'!E8&lt;&gt;"",'IP Input Sheet'!E8,'IP Input Sheet'!F8)),"[Enter IP]")</f>
        <v>10.5.25.64/26</v>
      </c>
      <c r="G23" s="24" t="s">
        <v>708</v>
      </c>
      <c r="H23" s="24" t="s">
        <v>252</v>
      </c>
      <c r="I23" s="24" t="s">
        <v>709</v>
      </c>
      <c r="J23" s="22" t="s">
        <v>254</v>
      </c>
      <c r="K23" s="23" t="s">
        <v>255</v>
      </c>
      <c r="L23" s="24" t="s">
        <v>256</v>
      </c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21" t="s">
        <v>710</v>
      </c>
      <c r="B24" s="21" t="s">
        <v>711</v>
      </c>
      <c r="C24" s="21" t="s">
        <v>47</v>
      </c>
      <c r="D24" s="21" t="str">
        <f>IFERROR(IF('IP Input Sheet'!D16&lt;&gt;"",'IP Input Sheet'!D16,IF('IP Input Sheet'!E16&lt;&gt;"",'IP Input Sheet'!E16,'IP Input Sheet'!F16)),"[Enter IP]")</f>
        <v>10.3.118.30</v>
      </c>
      <c r="E24" s="21" t="s">
        <v>656</v>
      </c>
      <c r="F24" s="21" t="str">
        <f>IFERROR(IF('IP Input Sheet'!D8&lt;&gt;"",'IP Input Sheet'!D8,IF('IP Input Sheet'!E8&lt;&gt;"",'IP Input Sheet'!E8,'IP Input Sheet'!F8)),"[Enter IP]")</f>
        <v>10.5.25.64/26</v>
      </c>
      <c r="G24" s="21" t="s">
        <v>251</v>
      </c>
      <c r="H24" s="21" t="s">
        <v>252</v>
      </c>
      <c r="I24" s="21" t="s">
        <v>712</v>
      </c>
      <c r="J24" s="22" t="s">
        <v>254</v>
      </c>
      <c r="K24" s="23" t="s">
        <v>255</v>
      </c>
      <c r="L24" s="21" t="s">
        <v>256</v>
      </c>
      <c r="M24" s="2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24" t="s">
        <v>713</v>
      </c>
      <c r="B25" s="24" t="s">
        <v>714</v>
      </c>
      <c r="C25" s="24" t="s">
        <v>47</v>
      </c>
      <c r="D25" s="24" t="str">
        <f>IFERROR(IF('IP Input Sheet'!D16&lt;&gt;"",'IP Input Sheet'!D16,IF('IP Input Sheet'!E16&lt;&gt;"",'IP Input Sheet'!E16,'IP Input Sheet'!F16)),"[Enter IP]")</f>
        <v>10.3.118.30</v>
      </c>
      <c r="E25" s="24" t="s">
        <v>656</v>
      </c>
      <c r="F25" s="24" t="str">
        <f>IFERROR(IF('IP Input Sheet'!D8&lt;&gt;"",'IP Input Sheet'!D8,IF('IP Input Sheet'!E8&lt;&gt;"",'IP Input Sheet'!E8,'IP Input Sheet'!F8)),"[Enter IP]")</f>
        <v>10.5.25.64/26</v>
      </c>
      <c r="G25" s="24" t="s">
        <v>715</v>
      </c>
      <c r="H25" s="24" t="s">
        <v>252</v>
      </c>
      <c r="I25" s="24" t="s">
        <v>716</v>
      </c>
      <c r="J25" s="22" t="s">
        <v>254</v>
      </c>
      <c r="K25" s="23" t="s">
        <v>255</v>
      </c>
      <c r="L25" s="24" t="s">
        <v>256</v>
      </c>
      <c r="M25" s="2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21" t="s">
        <v>717</v>
      </c>
      <c r="B26" s="21" t="s">
        <v>718</v>
      </c>
      <c r="C26" s="21" t="s">
        <v>47</v>
      </c>
      <c r="D26" s="21" t="str">
        <f>IFERROR(IF('IP Input Sheet'!D16&lt;&gt;"",'IP Input Sheet'!D16,IF('IP Input Sheet'!E16&lt;&gt;"",'IP Input Sheet'!E16,'IP Input Sheet'!F16)),"[Enter IP]")</f>
        <v>10.3.118.30</v>
      </c>
      <c r="E26" s="21" t="s">
        <v>27</v>
      </c>
      <c r="F26" s="21" t="str">
        <f>IFERROR(IF('IP Input Sheet'!D10&lt;&gt;"",'IP Input Sheet'!D10,IF('IP Input Sheet'!E10&lt;&gt;"",'IP Input Sheet'!E10,'IP Input Sheet'!F10)),"[Enter IP]")</f>
        <v>10.3.118.0/24</v>
      </c>
      <c r="G26" s="21" t="s">
        <v>251</v>
      </c>
      <c r="H26" s="21" t="s">
        <v>252</v>
      </c>
      <c r="I26" s="21" t="s">
        <v>719</v>
      </c>
      <c r="J26" s="22" t="s">
        <v>254</v>
      </c>
      <c r="K26" s="23" t="s">
        <v>255</v>
      </c>
      <c r="L26" s="21" t="s">
        <v>256</v>
      </c>
      <c r="M26" s="21" t="s">
        <v>720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24" t="s">
        <v>721</v>
      </c>
      <c r="B27" s="24" t="s">
        <v>722</v>
      </c>
      <c r="C27" s="24" t="s">
        <v>47</v>
      </c>
      <c r="D27" s="24" t="str">
        <f>IFERROR(IF('IP Input Sheet'!D16&lt;&gt;"",'IP Input Sheet'!D16,IF('IP Input Sheet'!E16&lt;&gt;"",'IP Input Sheet'!E16,'IP Input Sheet'!F16)),"[Enter IP]")</f>
        <v>10.3.118.30</v>
      </c>
      <c r="E27" s="24" t="s">
        <v>27</v>
      </c>
      <c r="F27" s="24" t="str">
        <f>IFERROR(IF('IP Input Sheet'!D10&lt;&gt;"",'IP Input Sheet'!D10,IF('IP Input Sheet'!E10&lt;&gt;"",'IP Input Sheet'!E10,'IP Input Sheet'!F10)),"[Enter IP]")</f>
        <v>10.3.118.0/24</v>
      </c>
      <c r="G27" s="24" t="s">
        <v>287</v>
      </c>
      <c r="H27" s="24" t="s">
        <v>252</v>
      </c>
      <c r="I27" s="24" t="s">
        <v>723</v>
      </c>
      <c r="J27" s="22" t="s">
        <v>254</v>
      </c>
      <c r="K27" s="23" t="s">
        <v>255</v>
      </c>
      <c r="L27" s="24" t="s">
        <v>256</v>
      </c>
      <c r="M27" s="24" t="s">
        <v>724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21" t="s">
        <v>725</v>
      </c>
      <c r="B28" s="21" t="s">
        <v>726</v>
      </c>
      <c r="C28" s="21" t="s">
        <v>282</v>
      </c>
      <c r="D28" s="21" t="str">
        <f>IFERROR(IF('IP Input Sheet'!D54&lt;&gt;"",'IP Input Sheet'!D54,IF('IP Input Sheet'!E54&lt;&gt;"",'IP Input Sheet'!E54,'IP Input Sheet'!F54)),"[Enter IP]")</f>
        <v>10.3.118.0/24</v>
      </c>
      <c r="E28" s="21" t="s">
        <v>656</v>
      </c>
      <c r="F28" s="21" t="str">
        <f>IFERROR(IF('IP Input Sheet'!D8&lt;&gt;"",'IP Input Sheet'!D8,IF('IP Input Sheet'!E8&lt;&gt;"",'IP Input Sheet'!E8,'IP Input Sheet'!F8)),"[Enter IP]")</f>
        <v>10.5.25.64/26</v>
      </c>
      <c r="G28" s="21" t="s">
        <v>657</v>
      </c>
      <c r="H28" s="21" t="s">
        <v>272</v>
      </c>
      <c r="I28" s="21" t="s">
        <v>727</v>
      </c>
      <c r="J28" s="22" t="s">
        <v>254</v>
      </c>
      <c r="K28" s="23" t="s">
        <v>255</v>
      </c>
      <c r="L28" s="21" t="s">
        <v>256</v>
      </c>
      <c r="M28" s="21" t="s">
        <v>728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24" t="s">
        <v>729</v>
      </c>
      <c r="B29" s="24" t="s">
        <v>730</v>
      </c>
      <c r="C29" s="24" t="s">
        <v>282</v>
      </c>
      <c r="D29" s="24" t="str">
        <f>IFERROR(IF('IP Input Sheet'!D54&lt;&gt;"",'IP Input Sheet'!D54,IF('IP Input Sheet'!E54&lt;&gt;"",'IP Input Sheet'!E54,'IP Input Sheet'!F54)),"[Enter IP]")</f>
        <v>10.3.118.0/24</v>
      </c>
      <c r="E29" s="24" t="s">
        <v>656</v>
      </c>
      <c r="F29" s="24" t="str">
        <f>IFERROR(IF('IP Input Sheet'!D8&lt;&gt;"",'IP Input Sheet'!D8,IF('IP Input Sheet'!E8&lt;&gt;"",'IP Input Sheet'!E8,'IP Input Sheet'!F8)),"[Enter IP]")</f>
        <v>10.5.25.64/26</v>
      </c>
      <c r="G29" s="24" t="s">
        <v>661</v>
      </c>
      <c r="H29" s="24" t="s">
        <v>252</v>
      </c>
      <c r="I29" s="24" t="s">
        <v>731</v>
      </c>
      <c r="J29" s="22" t="s">
        <v>254</v>
      </c>
      <c r="K29" s="23" t="s">
        <v>255</v>
      </c>
      <c r="L29" s="24" t="s">
        <v>256</v>
      </c>
      <c r="M29" s="2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21" t="s">
        <v>732</v>
      </c>
      <c r="B30" s="21" t="s">
        <v>733</v>
      </c>
      <c r="C30" s="21" t="s">
        <v>282</v>
      </c>
      <c r="D30" s="21" t="str">
        <f>IFERROR(IF('IP Input Sheet'!D54&lt;&gt;"",'IP Input Sheet'!D54,IF('IP Input Sheet'!E54&lt;&gt;"",'IP Input Sheet'!E54,'IP Input Sheet'!F54)),"[Enter IP]")</f>
        <v>10.3.118.0/24</v>
      </c>
      <c r="E30" s="21" t="s">
        <v>665</v>
      </c>
      <c r="F30" s="21" t="str">
        <f>IFERROR(IF('IP Input Sheet'!D9&lt;&gt;"",'IP Input Sheet'!D9,IF('IP Input Sheet'!E9&lt;&gt;"",'IP Input Sheet'!E9,'IP Input Sheet'!F9)),"[Enter IP]")</f>
        <v>10.5.25.64/26</v>
      </c>
      <c r="G30" s="21" t="s">
        <v>384</v>
      </c>
      <c r="H30" s="21" t="s">
        <v>272</v>
      </c>
      <c r="I30" s="21" t="s">
        <v>734</v>
      </c>
      <c r="J30" s="22" t="s">
        <v>254</v>
      </c>
      <c r="K30" s="23" t="s">
        <v>255</v>
      </c>
      <c r="L30" s="21" t="s">
        <v>256</v>
      </c>
      <c r="M30" s="2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24" t="s">
        <v>735</v>
      </c>
      <c r="B31" s="24" t="s">
        <v>736</v>
      </c>
      <c r="C31" s="24" t="s">
        <v>585</v>
      </c>
      <c r="D31" s="24" t="str">
        <f>IFERROR(IF('IP Input Sheet'!D18&lt;&gt;"",'IP Input Sheet'!D18,IF('IP Input Sheet'!E18&lt;&gt;"",'IP Input Sheet'!E18,'IP Input Sheet'!F18)),"[Enter IP]")</f>
        <v>10.3.118.0/24</v>
      </c>
      <c r="E31" s="24" t="s">
        <v>656</v>
      </c>
      <c r="F31" s="24" t="str">
        <f>IFERROR(IF('IP Input Sheet'!D8&lt;&gt;"",'IP Input Sheet'!D8,IF('IP Input Sheet'!E8&lt;&gt;"",'IP Input Sheet'!E8,'IP Input Sheet'!F8)),"[Enter IP]")</f>
        <v>10.5.25.64/26</v>
      </c>
      <c r="G31" s="24" t="s">
        <v>657</v>
      </c>
      <c r="H31" s="24" t="s">
        <v>272</v>
      </c>
      <c r="I31" s="24" t="s">
        <v>737</v>
      </c>
      <c r="J31" s="22" t="s">
        <v>254</v>
      </c>
      <c r="K31" s="23" t="s">
        <v>255</v>
      </c>
      <c r="L31" s="24" t="s">
        <v>256</v>
      </c>
      <c r="M31" s="24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21" t="s">
        <v>738</v>
      </c>
      <c r="B32" s="21" t="s">
        <v>739</v>
      </c>
      <c r="C32" s="21" t="s">
        <v>585</v>
      </c>
      <c r="D32" s="21" t="str">
        <f>IFERROR(IF('IP Input Sheet'!D18&lt;&gt;"",'IP Input Sheet'!D18,IF('IP Input Sheet'!E18&lt;&gt;"",'IP Input Sheet'!E18,'IP Input Sheet'!F18)),"[Enter IP]")</f>
        <v>10.3.118.0/24</v>
      </c>
      <c r="E32" s="21" t="s">
        <v>656</v>
      </c>
      <c r="F32" s="21" t="str">
        <f>IFERROR(IF('IP Input Sheet'!D8&lt;&gt;"",'IP Input Sheet'!D8,IF('IP Input Sheet'!E8&lt;&gt;"",'IP Input Sheet'!E8,'IP Input Sheet'!F8)),"[Enter IP]")</f>
        <v>10.5.25.64/26</v>
      </c>
      <c r="G32" s="21" t="s">
        <v>661</v>
      </c>
      <c r="H32" s="21" t="s">
        <v>252</v>
      </c>
      <c r="I32" s="21" t="s">
        <v>740</v>
      </c>
      <c r="J32" s="22" t="s">
        <v>254</v>
      </c>
      <c r="K32" s="23" t="s">
        <v>255</v>
      </c>
      <c r="L32" s="21" t="s">
        <v>256</v>
      </c>
      <c r="M32" s="2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24" t="s">
        <v>741</v>
      </c>
      <c r="B33" s="24" t="s">
        <v>742</v>
      </c>
      <c r="C33" s="24" t="s">
        <v>743</v>
      </c>
      <c r="D33" s="24" t="str">
        <f>IFERROR(IF('IP Input Sheet'!D18&lt;&gt;"",'IP Input Sheet'!D18,IF('IP Input Sheet'!E18&lt;&gt;"",'IP Input Sheet'!E18,'IP Input Sheet'!F18)),"[Enter IP]")</f>
        <v>10.3.118.0/24</v>
      </c>
      <c r="E33" s="24" t="s">
        <v>744</v>
      </c>
      <c r="F33" s="24" t="s">
        <v>745</v>
      </c>
      <c r="G33" s="24" t="s">
        <v>746</v>
      </c>
      <c r="H33" s="24" t="s">
        <v>746</v>
      </c>
      <c r="I33" s="24" t="s">
        <v>747</v>
      </c>
      <c r="J33" s="22" t="s">
        <v>254</v>
      </c>
      <c r="K33" s="23" t="s">
        <v>255</v>
      </c>
      <c r="L33" s="24" t="s">
        <v>261</v>
      </c>
      <c r="M33" s="24" t="s">
        <v>748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21" t="s">
        <v>749</v>
      </c>
      <c r="B34" s="21" t="s">
        <v>750</v>
      </c>
      <c r="C34" s="21" t="s">
        <v>404</v>
      </c>
      <c r="D34" s="21" t="str">
        <f>IFERROR(IF('IP Input Sheet'!D19&lt;&gt;"",'IP Input Sheet'!D19,IF('IP Input Sheet'!E19&lt;&gt;"",'IP Input Sheet'!E19,'IP Input Sheet'!F19)),"[Enter IP]")</f>
        <v>10.3.118.101</v>
      </c>
      <c r="E34" s="21" t="s">
        <v>378</v>
      </c>
      <c r="F34" s="21" t="str">
        <f>IFERROR(IF('IP Input Sheet'!D9&lt;&gt;"",'IP Input Sheet'!D9,IF('IP Input Sheet'!E9&lt;&gt;"",'IP Input Sheet'!E9,'IP Input Sheet'!F9)),"[Enter IP]")</f>
        <v>10.5.25.64/26</v>
      </c>
      <c r="G34" s="21" t="s">
        <v>251</v>
      </c>
      <c r="H34" s="21" t="s">
        <v>252</v>
      </c>
      <c r="I34" s="21" t="s">
        <v>751</v>
      </c>
      <c r="J34" s="22" t="s">
        <v>254</v>
      </c>
      <c r="K34" s="23" t="s">
        <v>255</v>
      </c>
      <c r="L34" s="21" t="s">
        <v>256</v>
      </c>
      <c r="M34" s="21" t="s">
        <v>406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24" t="s">
        <v>752</v>
      </c>
      <c r="B35" s="24" t="s">
        <v>753</v>
      </c>
      <c r="C35" s="24" t="s">
        <v>404</v>
      </c>
      <c r="D35" s="24" t="str">
        <f>IFERROR(IF('IP Input Sheet'!D19&lt;&gt;"",'IP Input Sheet'!D19,IF('IP Input Sheet'!E19&lt;&gt;"",'IP Input Sheet'!E19,'IP Input Sheet'!F19)),"[Enter IP]")</f>
        <v>10.3.118.101</v>
      </c>
      <c r="E35" s="24" t="s">
        <v>267</v>
      </c>
      <c r="F35" s="24" t="str">
        <f>IFERROR(IF('IP Input Sheet'!D14&lt;&gt;"",'IP Input Sheet'!D14,IF('IP Input Sheet'!E14&lt;&gt;"",'IP Input Sheet'!E14,'IP Input Sheet'!F14)),"[Enter IP]")</f>
        <v>10.3.118.0/24</v>
      </c>
      <c r="G35" s="24" t="s">
        <v>251</v>
      </c>
      <c r="H35" s="24" t="s">
        <v>252</v>
      </c>
      <c r="I35" s="24" t="s">
        <v>754</v>
      </c>
      <c r="J35" s="22" t="s">
        <v>254</v>
      </c>
      <c r="K35" s="23" t="s">
        <v>255</v>
      </c>
      <c r="L35" s="24" t="s">
        <v>256</v>
      </c>
      <c r="M35" s="24" t="s">
        <v>414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21" t="s">
        <v>755</v>
      </c>
      <c r="B36" s="21" t="s">
        <v>756</v>
      </c>
      <c r="C36" s="21" t="s">
        <v>404</v>
      </c>
      <c r="D36" s="21" t="str">
        <f>IFERROR(IF('IP Input Sheet'!D19&lt;&gt;"",'IP Input Sheet'!D19,IF('IP Input Sheet'!E19&lt;&gt;"",'IP Input Sheet'!E19,'IP Input Sheet'!F19)),"[Enter IP]")</f>
        <v>10.3.118.101</v>
      </c>
      <c r="E36" s="21" t="s">
        <v>36</v>
      </c>
      <c r="F36" s="21" t="str">
        <f>IFERROR(IF('IP Input Sheet'!D13&lt;&gt;"",'IP Input Sheet'!D13,IF('IP Input Sheet'!E13&lt;&gt;"",'IP Input Sheet'!E13,'IP Input Sheet'!F13)),"[Enter IP]")</f>
        <v>10.3.118.18</v>
      </c>
      <c r="G36" s="21" t="s">
        <v>251</v>
      </c>
      <c r="H36" s="21" t="s">
        <v>252</v>
      </c>
      <c r="I36" s="21" t="s">
        <v>757</v>
      </c>
      <c r="J36" s="22" t="s">
        <v>254</v>
      </c>
      <c r="K36" s="23" t="s">
        <v>255</v>
      </c>
      <c r="L36" s="21" t="s">
        <v>256</v>
      </c>
      <c r="M36" s="21" t="s">
        <v>414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24" t="s">
        <v>758</v>
      </c>
      <c r="B37" s="24" t="s">
        <v>759</v>
      </c>
      <c r="C37" s="24" t="s">
        <v>47</v>
      </c>
      <c r="D37" s="24" t="str">
        <f>IFERROR(IF('IP Input Sheet'!D16&lt;&gt;"",'IP Input Sheet'!D16,IF('IP Input Sheet'!E16&lt;&gt;"",'IP Input Sheet'!E16,'IP Input Sheet'!F16)),"[Enter IP]")</f>
        <v>10.3.118.30</v>
      </c>
      <c r="E37" s="24" t="s">
        <v>404</v>
      </c>
      <c r="F37" s="24" t="str">
        <f>IFERROR(IF('IP Input Sheet'!D19&lt;&gt;"",'IP Input Sheet'!D19,IF('IP Input Sheet'!E19&lt;&gt;"",'IP Input Sheet'!E19,'IP Input Sheet'!F19)),"[Enter IP]")</f>
        <v>10.3.118.101</v>
      </c>
      <c r="G37" s="24" t="s">
        <v>251</v>
      </c>
      <c r="H37" s="24" t="s">
        <v>252</v>
      </c>
      <c r="I37" s="24" t="s">
        <v>760</v>
      </c>
      <c r="J37" s="22" t="s">
        <v>254</v>
      </c>
      <c r="K37" s="23" t="s">
        <v>255</v>
      </c>
      <c r="L37" s="24" t="s">
        <v>256</v>
      </c>
      <c r="M37" s="24" t="s">
        <v>414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9" t="s">
        <v>761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5.5" customHeight="1">
      <c r="A39" s="28" t="s">
        <v>511</v>
      </c>
      <c r="B39" s="28" t="s">
        <v>762</v>
      </c>
      <c r="C39" s="28" t="s">
        <v>513</v>
      </c>
      <c r="D39" s="28" t="str">
        <f>IFERROR(IF('IP Input Sheet'!D15&lt;&gt;"",'IP Input Sheet'!D15,IF('IP Input Sheet'!E15&lt;&gt;"",'IP Input Sheet'!E15,'IP Input Sheet'!F15)),"[Enter IP]")</f>
        <v>10.3.118.0/24</v>
      </c>
      <c r="E39" s="28" t="s">
        <v>763</v>
      </c>
      <c r="F39" s="28" t="str">
        <f>IFERROR(IF('IP Input Sheet'!D14&lt;&gt;"",'IP Input Sheet'!D14,IF('IP Input Sheet'!E14&lt;&gt;"",'IP Input Sheet'!E14,'IP Input Sheet'!F14)),"[Enter IP]")</f>
        <v>10.3.118.0/24</v>
      </c>
      <c r="G39" s="28" t="s">
        <v>251</v>
      </c>
      <c r="H39" s="28" t="s">
        <v>252</v>
      </c>
      <c r="I39" s="28" t="s">
        <v>764</v>
      </c>
      <c r="J39" s="22" t="s">
        <v>254</v>
      </c>
      <c r="K39" s="27" t="s">
        <v>255</v>
      </c>
      <c r="L39" s="28" t="s">
        <v>261</v>
      </c>
      <c r="M39" s="28" t="s">
        <v>765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5.5" customHeight="1">
      <c r="A40" s="26" t="s">
        <v>766</v>
      </c>
      <c r="B40" s="26" t="s">
        <v>767</v>
      </c>
      <c r="C40" s="26" t="s">
        <v>763</v>
      </c>
      <c r="D40" s="26" t="str">
        <f>IFERROR(IF('IP Input Sheet'!D14&lt;&gt;"",'IP Input Sheet'!D14,IF('IP Input Sheet'!E14&lt;&gt;"",'IP Input Sheet'!E14,'IP Input Sheet'!F14)),"[Enter IP]")</f>
        <v>10.3.118.0/24</v>
      </c>
      <c r="E40" s="26" t="s">
        <v>513</v>
      </c>
      <c r="F40" s="26" t="str">
        <f>IFERROR(IF('IP Input Sheet'!D15&lt;&gt;"",'IP Input Sheet'!D15,IF('IP Input Sheet'!E15&lt;&gt;"",'IP Input Sheet'!E15,'IP Input Sheet'!F15)),"[Enter IP]")</f>
        <v>10.3.118.0/24</v>
      </c>
      <c r="G40" s="26" t="s">
        <v>251</v>
      </c>
      <c r="H40" s="26" t="s">
        <v>252</v>
      </c>
      <c r="I40" s="26" t="s">
        <v>768</v>
      </c>
      <c r="J40" s="22" t="s">
        <v>254</v>
      </c>
      <c r="K40" s="27" t="s">
        <v>255</v>
      </c>
      <c r="L40" s="26" t="s">
        <v>261</v>
      </c>
      <c r="M40" s="26" t="s">
        <v>769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51.75" customHeight="1">
      <c r="A41" s="28" t="s">
        <v>517</v>
      </c>
      <c r="B41" s="38" t="s">
        <v>770</v>
      </c>
      <c r="C41" s="28" t="s">
        <v>513</v>
      </c>
      <c r="D41" s="28" t="str">
        <f>IFERROR(IF('IP Input Sheet'!D15&lt;&gt;"",'IP Input Sheet'!D15,IF('IP Input Sheet'!E15&lt;&gt;"",'IP Input Sheet'!E15,'IP Input Sheet'!F15)),"[Enter IP]")</f>
        <v>10.3.118.0/24</v>
      </c>
      <c r="E41" s="28" t="s">
        <v>763</v>
      </c>
      <c r="F41" s="28" t="str">
        <f>IFERROR(IF('IP Input Sheet'!D14&lt;&gt;"",'IP Input Sheet'!D14,IF('IP Input Sheet'!E14&lt;&gt;"",'IP Input Sheet'!E14,'IP Input Sheet'!F14)),"[Enter IP]")</f>
        <v>10.3.118.0/24</v>
      </c>
      <c r="G41" s="28" t="s">
        <v>519</v>
      </c>
      <c r="H41" s="28" t="s">
        <v>252</v>
      </c>
      <c r="I41" s="28" t="s">
        <v>771</v>
      </c>
      <c r="J41" s="22" t="s">
        <v>254</v>
      </c>
      <c r="K41" s="27" t="s">
        <v>255</v>
      </c>
      <c r="L41" s="28" t="s">
        <v>261</v>
      </c>
      <c r="M41" s="28" t="s">
        <v>772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5.5" customHeight="1">
      <c r="A42" s="26" t="s">
        <v>773</v>
      </c>
      <c r="B42" s="34" t="s">
        <v>774</v>
      </c>
      <c r="C42" s="26" t="s">
        <v>763</v>
      </c>
      <c r="D42" s="26" t="str">
        <f>IFERROR(IF('IP Input Sheet'!D14&lt;&gt;"",'IP Input Sheet'!D14,IF('IP Input Sheet'!E14&lt;&gt;"",'IP Input Sheet'!E14,'IP Input Sheet'!F14)),"[Enter IP]")</f>
        <v>10.3.118.0/24</v>
      </c>
      <c r="E42" s="26" t="s">
        <v>513</v>
      </c>
      <c r="F42" s="26" t="str">
        <f>IFERROR(IF('IP Input Sheet'!D15&lt;&gt;"",'IP Input Sheet'!D15,IF('IP Input Sheet'!E15&lt;&gt;"",'IP Input Sheet'!E15,'IP Input Sheet'!F15)),"[Enter IP]")</f>
        <v>10.3.118.0/24</v>
      </c>
      <c r="G42" s="26" t="s">
        <v>519</v>
      </c>
      <c r="H42" s="26" t="s">
        <v>252</v>
      </c>
      <c r="I42" s="26" t="s">
        <v>775</v>
      </c>
      <c r="J42" s="22" t="s">
        <v>254</v>
      </c>
      <c r="K42" s="27" t="s">
        <v>255</v>
      </c>
      <c r="L42" s="26" t="s">
        <v>261</v>
      </c>
      <c r="M42" s="26" t="s">
        <v>776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9.0" customHeight="1">
      <c r="A43" s="28" t="s">
        <v>522</v>
      </c>
      <c r="B43" s="28" t="s">
        <v>777</v>
      </c>
      <c r="C43" s="28" t="s">
        <v>778</v>
      </c>
      <c r="D43" s="28" t="str">
        <f>IFERROR(IF('IP Input Sheet'!D22&lt;&gt;"",'IP Input Sheet'!D22,IF('IP Input Sheet'!E22&lt;&gt;"",'IP Input Sheet'!E22,'IP Input Sheet'!F22)),"[Enter IP]")</f>
        <v>10.3.111.101</v>
      </c>
      <c r="E43" s="28" t="s">
        <v>779</v>
      </c>
      <c r="F43" s="28" t="str">
        <f>IFERROR(IF('IP Input Sheet'!D26&lt;&gt;"",'IP Input Sheet'!D26,IF('IP Input Sheet'!E26&lt;&gt;"",'IP Input Sheet'!E26,'IP Input Sheet'!F26)),"[Enter IP]")</f>
        <v>10.3.111.133</v>
      </c>
      <c r="G43" s="28" t="s">
        <v>419</v>
      </c>
      <c r="H43" s="28" t="s">
        <v>252</v>
      </c>
      <c r="I43" s="28" t="s">
        <v>780</v>
      </c>
      <c r="J43" s="22" t="s">
        <v>254</v>
      </c>
      <c r="K43" s="27" t="s">
        <v>255</v>
      </c>
      <c r="L43" s="28" t="s">
        <v>261</v>
      </c>
      <c r="M43" s="28" t="s">
        <v>781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9.0" customHeight="1">
      <c r="A44" s="26" t="s">
        <v>782</v>
      </c>
      <c r="B44" s="26" t="s">
        <v>783</v>
      </c>
      <c r="C44" s="26" t="s">
        <v>784</v>
      </c>
      <c r="D44" s="26" t="str">
        <f>IFERROR(IF('IP Input Sheet'!D31&lt;&gt;"",'IP Input Sheet'!D31,IF('IP Input Sheet'!E31&lt;&gt;"",'IP Input Sheet'!E31,'IP Input Sheet'!F31)),"[Enter IP]")</f>
        <v>10.5.22.0/24</v>
      </c>
      <c r="E44" s="26" t="s">
        <v>785</v>
      </c>
      <c r="F44" s="26" t="str">
        <f>IFERROR(IF('IP Input Sheet'!D31&lt;&gt;"",'IP Input Sheet'!D31,IF('IP Input Sheet'!E31&lt;&gt;"",'IP Input Sheet'!E31,'IP Input Sheet'!F31)),"[Enter IP]")</f>
        <v>10.5.22.0/24</v>
      </c>
      <c r="G44" s="26" t="s">
        <v>457</v>
      </c>
      <c r="H44" s="26" t="s">
        <v>278</v>
      </c>
      <c r="I44" s="26" t="s">
        <v>786</v>
      </c>
      <c r="J44" s="22" t="s">
        <v>254</v>
      </c>
      <c r="K44" s="27" t="s">
        <v>255</v>
      </c>
      <c r="L44" s="26" t="s">
        <v>261</v>
      </c>
      <c r="M44" s="26" t="s">
        <v>787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0.75" customHeight="1">
      <c r="A45" s="28" t="s">
        <v>788</v>
      </c>
      <c r="B45" s="34" t="s">
        <v>789</v>
      </c>
      <c r="C45" s="28" t="s">
        <v>537</v>
      </c>
      <c r="D45" s="28" t="str">
        <f>IFERROR(IF('IP Input Sheet'!D13&lt;&gt;"",'IP Input Sheet'!D13,IF('IP Input Sheet'!E13&lt;&gt;"",'IP Input Sheet'!E13,'IP Input Sheet'!F13)),"[Enter IP]")</f>
        <v>10.3.118.18</v>
      </c>
      <c r="E45" s="28" t="s">
        <v>10</v>
      </c>
      <c r="F45" s="28" t="str">
        <f>IFERROR(IF('IP Input Sheet'!D5&lt;&gt;"",'IP Input Sheet'!D5,IF('IP Input Sheet'!E5&lt;&gt;"",'IP Input Sheet'!E5,'IP Input Sheet'!F5)),"[Enter IP]")</f>
        <v>10.5.25.86</v>
      </c>
      <c r="G45" s="28" t="s">
        <v>538</v>
      </c>
      <c r="H45" s="28" t="s">
        <v>252</v>
      </c>
      <c r="I45" s="28" t="s">
        <v>790</v>
      </c>
      <c r="J45" s="22" t="s">
        <v>254</v>
      </c>
      <c r="K45" s="27" t="s">
        <v>255</v>
      </c>
      <c r="L45" s="28" t="s">
        <v>261</v>
      </c>
      <c r="M45" s="28" t="s">
        <v>791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75" customHeight="1">
      <c r="A46" s="26" t="s">
        <v>792</v>
      </c>
      <c r="B46" s="34" t="s">
        <v>793</v>
      </c>
      <c r="C46" s="26" t="s">
        <v>47</v>
      </c>
      <c r="D46" s="26" t="str">
        <f>IFERROR(IF('IP Input Sheet'!D16&lt;&gt;"",'IP Input Sheet'!D16,IF('IP Input Sheet'!E16&lt;&gt;"",'IP Input Sheet'!E16,'IP Input Sheet'!F16)),"[Enter IP]")</f>
        <v>10.3.118.30</v>
      </c>
      <c r="E46" s="26" t="s">
        <v>794</v>
      </c>
      <c r="F46" s="26" t="str">
        <f>IFERROR(IF('IP Input Sheet'!D13&lt;&gt;"",'IP Input Sheet'!D13,IF('IP Input Sheet'!E13&lt;&gt;"",'IP Input Sheet'!E13,'IP Input Sheet'!F13)),"[Enter IP]")</f>
        <v>10.3.118.18</v>
      </c>
      <c r="G46" s="26" t="s">
        <v>538</v>
      </c>
      <c r="H46" s="26" t="s">
        <v>252</v>
      </c>
      <c r="I46" s="26" t="s">
        <v>795</v>
      </c>
      <c r="J46" s="22" t="s">
        <v>254</v>
      </c>
      <c r="K46" s="27" t="s">
        <v>255</v>
      </c>
      <c r="L46" s="26" t="s">
        <v>256</v>
      </c>
      <c r="M46" s="26" t="s">
        <v>796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0" customHeight="1">
      <c r="A47" s="28" t="s">
        <v>797</v>
      </c>
      <c r="B47" s="34" t="s">
        <v>798</v>
      </c>
      <c r="C47" s="28" t="s">
        <v>585</v>
      </c>
      <c r="D47" s="28" t="str">
        <f>IFERROR(IF('IP Input Sheet'!D18&lt;&gt;"",'IP Input Sheet'!D18,IF('IP Input Sheet'!E18&lt;&gt;"",'IP Input Sheet'!E18,'IP Input Sheet'!F18)),"[Enter IP]")</f>
        <v>10.3.118.0/24</v>
      </c>
      <c r="E47" s="28" t="s">
        <v>537</v>
      </c>
      <c r="F47" s="28" t="str">
        <f>IFERROR(IF('IP Input Sheet'!D13&lt;&gt;"",'IP Input Sheet'!D13,IF('IP Input Sheet'!E13&lt;&gt;"",'IP Input Sheet'!E13,'IP Input Sheet'!F13)),"[Enter IP]")</f>
        <v>10.3.118.18</v>
      </c>
      <c r="G47" s="28" t="s">
        <v>538</v>
      </c>
      <c r="H47" s="28" t="s">
        <v>252</v>
      </c>
      <c r="I47" s="28" t="s">
        <v>799</v>
      </c>
      <c r="J47" s="22" t="s">
        <v>254</v>
      </c>
      <c r="K47" s="27" t="s">
        <v>255</v>
      </c>
      <c r="L47" s="28" t="s">
        <v>256</v>
      </c>
      <c r="M47" s="28" t="s">
        <v>800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6" t="s">
        <v>801</v>
      </c>
      <c r="B48" s="34" t="s">
        <v>802</v>
      </c>
      <c r="C48" s="26" t="s">
        <v>803</v>
      </c>
      <c r="D48" s="26" t="str">
        <f>IFERROR(IF('IP Input Sheet'!D13&lt;&gt;"",'IP Input Sheet'!D13,IF('IP Input Sheet'!E13&lt;&gt;"",'IP Input Sheet'!E13,'IP Input Sheet'!F13)),"[Enter IP]")</f>
        <v>10.3.118.18</v>
      </c>
      <c r="E48" s="26" t="s">
        <v>804</v>
      </c>
      <c r="F48" s="26" t="str">
        <f>IFERROR(IF('IP Input Sheet'!D20&lt;&gt;"",'IP Input Sheet'!D20,IF('IP Input Sheet'!E20&lt;&gt;"",'IP Input Sheet'!E20,'IP Input Sheet'!F20)),"[Enter IP]")</f>
        <v>192.168.188.1</v>
      </c>
      <c r="G48" s="26" t="s">
        <v>560</v>
      </c>
      <c r="H48" s="26" t="s">
        <v>252</v>
      </c>
      <c r="I48" s="26" t="s">
        <v>805</v>
      </c>
      <c r="J48" s="22" t="s">
        <v>254</v>
      </c>
      <c r="K48" s="27" t="s">
        <v>255</v>
      </c>
      <c r="L48" s="26" t="s">
        <v>261</v>
      </c>
      <c r="M48" s="26" t="s">
        <v>806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8" t="s">
        <v>807</v>
      </c>
      <c r="B49" s="34" t="s">
        <v>808</v>
      </c>
      <c r="C49" s="28" t="s">
        <v>809</v>
      </c>
      <c r="D49" s="28" t="str">
        <f>IFERROR(IF('IP Input Sheet'!D20&lt;&gt;"",'IP Input Sheet'!D20,IF('IP Input Sheet'!E20&lt;&gt;"",'IP Input Sheet'!E20,'IP Input Sheet'!F20)),"[Enter IP]")</f>
        <v>192.168.188.1</v>
      </c>
      <c r="E49" s="28" t="s">
        <v>810</v>
      </c>
      <c r="F49" s="28" t="s">
        <v>811</v>
      </c>
      <c r="G49" s="28" t="s">
        <v>560</v>
      </c>
      <c r="H49" s="28" t="s">
        <v>252</v>
      </c>
      <c r="I49" s="28" t="s">
        <v>812</v>
      </c>
      <c r="J49" s="22" t="s">
        <v>254</v>
      </c>
      <c r="K49" s="27" t="s">
        <v>255</v>
      </c>
      <c r="L49" s="28" t="s">
        <v>256</v>
      </c>
      <c r="M49" s="28" t="s">
        <v>813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11"/>
      <c r="B51" s="35" t="s">
        <v>814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1" t="s">
        <v>815</v>
      </c>
      <c r="B52" s="21" t="s">
        <v>816</v>
      </c>
      <c r="C52" s="21" t="s">
        <v>36</v>
      </c>
      <c r="D52" s="21" t="str">
        <f>IFERROR(IF('IP Input Sheet'!D13&lt;&gt;"",'IP Input Sheet'!D13,IF('IP Input Sheet'!E13&lt;&gt;"",'IP Input Sheet'!E13,'IP Input Sheet'!F13)),"[Enter IP]")</f>
        <v>10.3.118.18</v>
      </c>
      <c r="E52" s="21" t="s">
        <v>574</v>
      </c>
      <c r="F52" s="21" t="str">
        <f>IFERROR(IF('IP Input Sheet'!D20&lt;&gt;"",'IP Input Sheet'!D20,IF('IP Input Sheet'!E20&lt;&gt;"",'IP Input Sheet'!E20,'IP Input Sheet'!F20)),"[Enter IP]")</f>
        <v>192.168.188.1</v>
      </c>
      <c r="G52" s="21" t="s">
        <v>251</v>
      </c>
      <c r="H52" s="21" t="s">
        <v>252</v>
      </c>
      <c r="I52" s="21" t="s">
        <v>817</v>
      </c>
      <c r="J52" s="22" t="s">
        <v>254</v>
      </c>
      <c r="K52" s="23" t="s">
        <v>255</v>
      </c>
      <c r="L52" s="21" t="s">
        <v>256</v>
      </c>
      <c r="M52" s="21" t="s">
        <v>818</v>
      </c>
      <c r="N52" s="11" t="s">
        <v>819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1" t="s">
        <v>820</v>
      </c>
      <c r="B53" s="21" t="s">
        <v>821</v>
      </c>
      <c r="C53" s="21" t="s">
        <v>36</v>
      </c>
      <c r="D53" s="21" t="str">
        <f>IFERROR(IF('IP Input Sheet'!D13&lt;&gt;"",'IP Input Sheet'!D13,IF('IP Input Sheet'!E13&lt;&gt;"",'IP Input Sheet'!E13,'IP Input Sheet'!F13)),"[Enter IP]")</f>
        <v>10.3.118.18</v>
      </c>
      <c r="E53" s="21" t="s">
        <v>574</v>
      </c>
      <c r="F53" s="21" t="str">
        <f>IFERROR(IF('IP Input Sheet'!D20&lt;&gt;"",'IP Input Sheet'!D20,IF('IP Input Sheet'!E20&lt;&gt;"",'IP Input Sheet'!E20,'IP Input Sheet'!F20)),"[Enter IP]")</f>
        <v>192.168.188.1</v>
      </c>
      <c r="G53" s="21" t="s">
        <v>538</v>
      </c>
      <c r="H53" s="21" t="s">
        <v>252</v>
      </c>
      <c r="I53" s="21" t="s">
        <v>822</v>
      </c>
      <c r="J53" s="22" t="s">
        <v>254</v>
      </c>
      <c r="K53" s="23" t="s">
        <v>255</v>
      </c>
      <c r="L53" s="21" t="s">
        <v>256</v>
      </c>
      <c r="M53" s="21" t="s">
        <v>823</v>
      </c>
      <c r="N53" s="11" t="s">
        <v>823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1" t="s">
        <v>824</v>
      </c>
      <c r="B54" s="21" t="s">
        <v>825</v>
      </c>
      <c r="C54" s="21" t="s">
        <v>585</v>
      </c>
      <c r="D54" s="21" t="str">
        <f>IFERROR(IF('IP Input Sheet'!D18&lt;&gt;"",'IP Input Sheet'!D18,IF('IP Input Sheet'!E18&lt;&gt;"",'IP Input Sheet'!E18,'IP Input Sheet'!F18)),"[Enter IP]")</f>
        <v>10.3.118.0/24</v>
      </c>
      <c r="E54" s="21" t="s">
        <v>574</v>
      </c>
      <c r="F54" s="21" t="str">
        <f>IFERROR(IF('IP Input Sheet'!D20&lt;&gt;"",'IP Input Sheet'!D20,IF('IP Input Sheet'!E20&lt;&gt;"",'IP Input Sheet'!E20,'IP Input Sheet'!F20)),"[Enter IP]")</f>
        <v>192.168.188.1</v>
      </c>
      <c r="G54" s="21" t="s">
        <v>356</v>
      </c>
      <c r="H54" s="21" t="s">
        <v>272</v>
      </c>
      <c r="I54" s="21" t="s">
        <v>826</v>
      </c>
      <c r="J54" s="22" t="s">
        <v>254</v>
      </c>
      <c r="K54" s="23" t="s">
        <v>255</v>
      </c>
      <c r="L54" s="21" t="s">
        <v>261</v>
      </c>
      <c r="M54" s="21" t="s">
        <v>827</v>
      </c>
      <c r="N54" s="11" t="s">
        <v>828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21" t="s">
        <v>829</v>
      </c>
      <c r="B55" s="21" t="s">
        <v>830</v>
      </c>
      <c r="C55" s="21" t="s">
        <v>585</v>
      </c>
      <c r="D55" s="21" t="str">
        <f>IFERROR(IF('IP Input Sheet'!D18&lt;&gt;"",'IP Input Sheet'!D18,IF('IP Input Sheet'!E18&lt;&gt;"",'IP Input Sheet'!E18,'IP Input Sheet'!F18)),"[Enter IP]")</f>
        <v>10.3.118.0/24</v>
      </c>
      <c r="E55" s="21" t="s">
        <v>574</v>
      </c>
      <c r="F55" s="21" t="str">
        <f>IFERROR(IF('IP Input Sheet'!D20&lt;&gt;"",'IP Input Sheet'!D20,IF('IP Input Sheet'!E20&lt;&gt;"",'IP Input Sheet'!E20,'IP Input Sheet'!F20)),"[Enter IP]")</f>
        <v>192.168.188.1</v>
      </c>
      <c r="G55" s="21" t="s">
        <v>591</v>
      </c>
      <c r="H55" s="21" t="s">
        <v>252</v>
      </c>
      <c r="I55" s="21" t="s">
        <v>831</v>
      </c>
      <c r="J55" s="22" t="s">
        <v>254</v>
      </c>
      <c r="K55" s="23" t="s">
        <v>255</v>
      </c>
      <c r="L55" s="21" t="s">
        <v>256</v>
      </c>
      <c r="M55" s="21" t="s">
        <v>828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36" t="s">
        <v>832</v>
      </c>
      <c r="B56" s="36" t="s">
        <v>833</v>
      </c>
      <c r="C56" s="36" t="s">
        <v>36</v>
      </c>
      <c r="D56" s="36" t="str">
        <f>IFERROR(IF('IP Input Sheet'!D13&lt;&gt;"",'IP Input Sheet'!D13,IF('IP Input Sheet'!E13&lt;&gt;"",'IP Input Sheet'!E13,'IP Input Sheet'!F13)),"[Enter IP]")</f>
        <v>10.3.118.18</v>
      </c>
      <c r="E56" s="36" t="s">
        <v>574</v>
      </c>
      <c r="F56" s="36" t="str">
        <f>IFERROR(IF('IP Input Sheet'!D20&lt;&gt;"",'IP Input Sheet'!D20,IF('IP Input Sheet'!E20&lt;&gt;"",'IP Input Sheet'!E20,'IP Input Sheet'!F20)),"[Enter IP]")</f>
        <v>192.168.188.1</v>
      </c>
      <c r="G56" s="36" t="s">
        <v>591</v>
      </c>
      <c r="H56" s="36" t="s">
        <v>629</v>
      </c>
      <c r="I56" s="36" t="s">
        <v>834</v>
      </c>
      <c r="J56" s="22" t="s">
        <v>254</v>
      </c>
      <c r="K56" s="36" t="s">
        <v>255</v>
      </c>
      <c r="L56" s="36" t="s">
        <v>256</v>
      </c>
      <c r="M56" s="36" t="s">
        <v>835</v>
      </c>
      <c r="N56" s="30"/>
    </row>
    <row r="57" ht="15.0" customHeight="1">
      <c r="A57" s="36" t="s">
        <v>836</v>
      </c>
      <c r="B57" s="36" t="s">
        <v>837</v>
      </c>
      <c r="C57" s="36" t="s">
        <v>634</v>
      </c>
      <c r="D57" s="36" t="str">
        <f>IFERROR(IF('IP Input Sheet'!D18&lt;&gt;"",'IP Input Sheet'!D18,IF('IP Input Sheet'!E18&lt;&gt;"",'IP Input Sheet'!E18,'IP Input Sheet'!F18)),"[Enter IP]")</f>
        <v>10.3.118.0/24</v>
      </c>
      <c r="E57" s="36" t="s">
        <v>574</v>
      </c>
      <c r="F57" s="36" t="str">
        <f>IFERROR(IF('IP Input Sheet'!D20&lt;&gt;"",'IP Input Sheet'!D20,IF('IP Input Sheet'!E20&lt;&gt;"",'IP Input Sheet'!E20,'IP Input Sheet'!F20)),"[Enter IP]")</f>
        <v>192.168.188.1</v>
      </c>
      <c r="G57" s="36" t="s">
        <v>596</v>
      </c>
      <c r="H57" s="36" t="s">
        <v>252</v>
      </c>
      <c r="I57" s="36" t="s">
        <v>838</v>
      </c>
      <c r="J57" s="22" t="s">
        <v>254</v>
      </c>
      <c r="K57" s="36" t="s">
        <v>255</v>
      </c>
      <c r="L57" s="36" t="s">
        <v>261</v>
      </c>
      <c r="M57" s="36" t="s">
        <v>839</v>
      </c>
      <c r="N57" s="30"/>
    </row>
    <row r="58" ht="15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mergeCells count="3">
    <mergeCell ref="A1:M1"/>
    <mergeCell ref="A2:M2"/>
    <mergeCell ref="A38:M3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2.0"/>
    <col customWidth="1" min="3" max="3" width="28.0"/>
    <col customWidth="1" min="4" max="4" width="24.0"/>
    <col customWidth="1" min="5" max="5" width="28.0"/>
    <col customWidth="1" min="6" max="6" width="24.0"/>
    <col customWidth="1" min="7" max="7" width="14.0"/>
    <col customWidth="1" min="8" max="8" width="10.0"/>
    <col customWidth="1" min="9" max="9" width="34.0"/>
    <col customWidth="1" min="10" max="10" width="8.0"/>
    <col customWidth="1" min="11" max="12" width="14.0"/>
    <col customWidth="1" min="13" max="13" width="42.0"/>
  </cols>
  <sheetData>
    <row r="1" ht="27.75" customHeight="1">
      <c r="A1" s="20" t="s">
        <v>840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841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  <c r="I3" s="4" t="s">
        <v>244</v>
      </c>
      <c r="J3" s="4" t="s">
        <v>245</v>
      </c>
      <c r="K3" s="4" t="s">
        <v>246</v>
      </c>
      <c r="L3" s="4" t="s">
        <v>247</v>
      </c>
      <c r="M3" s="4" t="s">
        <v>248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21" t="s">
        <v>842</v>
      </c>
      <c r="B4" s="21" t="s">
        <v>270</v>
      </c>
      <c r="C4" s="21" t="s">
        <v>10</v>
      </c>
      <c r="D4" s="21" t="str">
        <f>IFERROR(IF('IP Input Sheet'!D5&lt;&gt;"",'IP Input Sheet'!D5,IF('IP Input Sheet'!E5&lt;&gt;"",'IP Input Sheet'!E5,'IP Input Sheet'!F5)),"[Enter IP]")</f>
        <v>10.5.25.86</v>
      </c>
      <c r="E4" s="21" t="s">
        <v>203</v>
      </c>
      <c r="F4" s="21" t="str">
        <f>'IP Input Sheet'!D60</f>
        <v/>
      </c>
      <c r="G4" s="21" t="s">
        <v>271</v>
      </c>
      <c r="H4" s="21" t="s">
        <v>272</v>
      </c>
      <c r="I4" s="21" t="s">
        <v>273</v>
      </c>
      <c r="J4" s="22" t="s">
        <v>254</v>
      </c>
      <c r="K4" s="23" t="s">
        <v>255</v>
      </c>
      <c r="L4" s="21" t="s">
        <v>261</v>
      </c>
      <c r="M4" s="21" t="s">
        <v>274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4" t="s">
        <v>843</v>
      </c>
      <c r="B5" s="24" t="s">
        <v>276</v>
      </c>
      <c r="C5" s="24" t="s">
        <v>10</v>
      </c>
      <c r="D5" s="24" t="str">
        <f>IFERROR(IF('IP Input Sheet'!D5&lt;&gt;"",'IP Input Sheet'!D5,IF('IP Input Sheet'!E5&lt;&gt;"",'IP Input Sheet'!E5,'IP Input Sheet'!F5)),"[Enter IP]")</f>
        <v>10.5.25.86</v>
      </c>
      <c r="E5" s="24" t="s">
        <v>207</v>
      </c>
      <c r="F5" s="24" t="str">
        <f>'IP Input Sheet'!D61</f>
        <v/>
      </c>
      <c r="G5" s="24" t="s">
        <v>277</v>
      </c>
      <c r="H5" s="24" t="s">
        <v>278</v>
      </c>
      <c r="I5" s="24" t="s">
        <v>611</v>
      </c>
      <c r="J5" s="22" t="s">
        <v>254</v>
      </c>
      <c r="K5" s="23" t="s">
        <v>255</v>
      </c>
      <c r="L5" s="24" t="s">
        <v>256</v>
      </c>
      <c r="M5" s="2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1" t="s">
        <v>844</v>
      </c>
      <c r="B6" s="21" t="s">
        <v>845</v>
      </c>
      <c r="C6" s="21" t="s">
        <v>14</v>
      </c>
      <c r="D6" s="21" t="str">
        <f>IFERROR(IF('IP Input Sheet'!D6&lt;&gt;"",'IP Input Sheet'!D6,IF('IP Input Sheet'!E6&lt;&gt;"",'IP Input Sheet'!E6,'IP Input Sheet'!F6)),"[Enter IP]")</f>
        <v>10.5.25.64/26</v>
      </c>
      <c r="E6" s="21" t="s">
        <v>203</v>
      </c>
      <c r="F6" s="21" t="str">
        <f>'IP Input Sheet'!D60</f>
        <v/>
      </c>
      <c r="G6" s="21" t="s">
        <v>271</v>
      </c>
      <c r="H6" s="21" t="s">
        <v>272</v>
      </c>
      <c r="I6" s="21" t="s">
        <v>846</v>
      </c>
      <c r="J6" s="22" t="s">
        <v>254</v>
      </c>
      <c r="K6" s="23" t="s">
        <v>255</v>
      </c>
      <c r="L6" s="21" t="s">
        <v>256</v>
      </c>
      <c r="M6" s="21" t="s">
        <v>847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4" t="s">
        <v>848</v>
      </c>
      <c r="B7" s="24" t="s">
        <v>849</v>
      </c>
      <c r="C7" s="24" t="s">
        <v>14</v>
      </c>
      <c r="D7" s="24" t="str">
        <f>IFERROR(IF('IP Input Sheet'!D6&lt;&gt;"",'IP Input Sheet'!D6,IF('IP Input Sheet'!E6&lt;&gt;"",'IP Input Sheet'!E6,'IP Input Sheet'!F6)),"[Enter IP]")</f>
        <v>10.5.25.64/26</v>
      </c>
      <c r="E7" s="24" t="s">
        <v>207</v>
      </c>
      <c r="F7" s="24" t="str">
        <f>'IP Input Sheet'!D61</f>
        <v/>
      </c>
      <c r="G7" s="24" t="s">
        <v>277</v>
      </c>
      <c r="H7" s="24" t="s">
        <v>278</v>
      </c>
      <c r="I7" s="24" t="s">
        <v>611</v>
      </c>
      <c r="J7" s="22" t="s">
        <v>254</v>
      </c>
      <c r="K7" s="23" t="s">
        <v>255</v>
      </c>
      <c r="L7" s="24" t="s">
        <v>256</v>
      </c>
      <c r="M7" s="2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1" t="s">
        <v>850</v>
      </c>
      <c r="B8" s="21" t="s">
        <v>851</v>
      </c>
      <c r="C8" s="21" t="s">
        <v>14</v>
      </c>
      <c r="D8" s="21" t="str">
        <f>IFERROR(IF('IP Input Sheet'!D6&lt;&gt;"",'IP Input Sheet'!D6,IF('IP Input Sheet'!E6&lt;&gt;"",'IP Input Sheet'!E6,'IP Input Sheet'!F6)),"[Enter IP]")</f>
        <v>10.5.25.64/26</v>
      </c>
      <c r="E8" s="21" t="s">
        <v>322</v>
      </c>
      <c r="F8" s="21"/>
      <c r="G8" s="21" t="s">
        <v>323</v>
      </c>
      <c r="H8" s="21" t="s">
        <v>252</v>
      </c>
      <c r="I8" s="21" t="s">
        <v>324</v>
      </c>
      <c r="J8" s="22" t="s">
        <v>254</v>
      </c>
      <c r="K8" s="23" t="s">
        <v>255</v>
      </c>
      <c r="L8" s="21" t="s">
        <v>256</v>
      </c>
      <c r="M8" s="2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4" t="s">
        <v>852</v>
      </c>
      <c r="B9" s="24" t="s">
        <v>853</v>
      </c>
      <c r="C9" s="24" t="s">
        <v>14</v>
      </c>
      <c r="D9" s="24" t="str">
        <f>IFERROR(IF('IP Input Sheet'!D6&lt;&gt;"",'IP Input Sheet'!D6,IF('IP Input Sheet'!E6&lt;&gt;"",'IP Input Sheet'!E6,'IP Input Sheet'!F6)),"[Enter IP]")</f>
        <v>10.5.25.64/26</v>
      </c>
      <c r="E9" s="24" t="s">
        <v>322</v>
      </c>
      <c r="F9" s="24"/>
      <c r="G9" s="24" t="s">
        <v>327</v>
      </c>
      <c r="H9" s="24" t="s">
        <v>252</v>
      </c>
      <c r="I9" s="24" t="s">
        <v>854</v>
      </c>
      <c r="J9" s="22" t="s">
        <v>254</v>
      </c>
      <c r="K9" s="23" t="s">
        <v>255</v>
      </c>
      <c r="L9" s="24" t="s">
        <v>256</v>
      </c>
      <c r="M9" s="2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1" t="s">
        <v>855</v>
      </c>
      <c r="B10" s="21" t="s">
        <v>856</v>
      </c>
      <c r="C10" s="21" t="s">
        <v>14</v>
      </c>
      <c r="D10" s="21" t="str">
        <f>IFERROR(IF('IP Input Sheet'!D6&lt;&gt;"",'IP Input Sheet'!D6,IF('IP Input Sheet'!E6&lt;&gt;"",'IP Input Sheet'!E6,'IP Input Sheet'!F6)),"[Enter IP]")</f>
        <v>10.5.25.64/26</v>
      </c>
      <c r="E10" s="21" t="s">
        <v>322</v>
      </c>
      <c r="F10" s="21"/>
      <c r="G10" s="21" t="s">
        <v>331</v>
      </c>
      <c r="H10" s="21" t="s">
        <v>252</v>
      </c>
      <c r="I10" s="21" t="s">
        <v>857</v>
      </c>
      <c r="J10" s="22" t="s">
        <v>254</v>
      </c>
      <c r="K10" s="23" t="s">
        <v>255</v>
      </c>
      <c r="L10" s="21" t="s">
        <v>256</v>
      </c>
      <c r="M10" s="2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4" t="s">
        <v>858</v>
      </c>
      <c r="B11" s="24" t="s">
        <v>859</v>
      </c>
      <c r="C11" s="24" t="s">
        <v>14</v>
      </c>
      <c r="D11" s="24" t="str">
        <f>IFERROR(IF('IP Input Sheet'!D6&lt;&gt;"",'IP Input Sheet'!D6,IF('IP Input Sheet'!E6&lt;&gt;"",'IP Input Sheet'!E6,'IP Input Sheet'!F6)),"[Enter IP]")</f>
        <v>10.5.25.64/26</v>
      </c>
      <c r="E11" s="24" t="s">
        <v>335</v>
      </c>
      <c r="F11" s="24" t="str">
        <f>IF('IP Input Sheet'!$D$64&lt;&gt;"",'IP Input Sheet'!$D$64,IF('IP Input Sheet'!$E$64&lt;&gt;"",'IP Input Sheet'!$E$64,'IP Input Sheet'!$F$64))</f>
        <v>N/A — shared</v>
      </c>
      <c r="G11" s="24" t="s">
        <v>287</v>
      </c>
      <c r="H11" s="24" t="s">
        <v>252</v>
      </c>
      <c r="I11" s="24" t="s">
        <v>336</v>
      </c>
      <c r="J11" s="22" t="s">
        <v>254</v>
      </c>
      <c r="K11" s="23" t="s">
        <v>255</v>
      </c>
      <c r="L11" s="24" t="s">
        <v>256</v>
      </c>
      <c r="M11" s="24" t="s">
        <v>860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1" t="s">
        <v>861</v>
      </c>
      <c r="B12" s="21" t="s">
        <v>862</v>
      </c>
      <c r="C12" s="21" t="s">
        <v>27</v>
      </c>
      <c r="D12" s="21" t="str">
        <f>IFERROR(IF('IP Input Sheet'!D10&lt;&gt;"",'IP Input Sheet'!D10,IF('IP Input Sheet'!E10&lt;&gt;"",'IP Input Sheet'!E10,'IP Input Sheet'!F10)),"[Enter IP]")</f>
        <v>10.3.118.0/24</v>
      </c>
      <c r="E12" s="21" t="s">
        <v>322</v>
      </c>
      <c r="F12" s="21"/>
      <c r="G12" s="21" t="s">
        <v>323</v>
      </c>
      <c r="H12" s="21" t="s">
        <v>272</v>
      </c>
      <c r="I12" s="21" t="s">
        <v>863</v>
      </c>
      <c r="J12" s="22" t="s">
        <v>254</v>
      </c>
      <c r="K12" s="23" t="s">
        <v>255</v>
      </c>
      <c r="L12" s="21" t="s">
        <v>256</v>
      </c>
      <c r="M12" s="21" t="s">
        <v>864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4" t="s">
        <v>865</v>
      </c>
      <c r="B13" s="24" t="s">
        <v>866</v>
      </c>
      <c r="C13" s="24" t="s">
        <v>27</v>
      </c>
      <c r="D13" s="24" t="str">
        <f>IFERROR(IF('IP Input Sheet'!D10&lt;&gt;"",'IP Input Sheet'!D10,IF('IP Input Sheet'!E10&lt;&gt;"",'IP Input Sheet'!E10,'IP Input Sheet'!F10)),"[Enter IP]")</f>
        <v>10.3.118.0/24</v>
      </c>
      <c r="E13" s="24" t="s">
        <v>322</v>
      </c>
      <c r="F13" s="24"/>
      <c r="G13" s="24" t="s">
        <v>327</v>
      </c>
      <c r="H13" s="24" t="s">
        <v>252</v>
      </c>
      <c r="I13" s="24" t="s">
        <v>854</v>
      </c>
      <c r="J13" s="22" t="s">
        <v>254</v>
      </c>
      <c r="K13" s="23" t="s">
        <v>255</v>
      </c>
      <c r="L13" s="24" t="s">
        <v>256</v>
      </c>
      <c r="M13" s="2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1" t="s">
        <v>867</v>
      </c>
      <c r="B14" s="21" t="s">
        <v>868</v>
      </c>
      <c r="C14" s="21" t="s">
        <v>27</v>
      </c>
      <c r="D14" s="21" t="str">
        <f>IFERROR(IF('IP Input Sheet'!D10&lt;&gt;"",'IP Input Sheet'!D10,IF('IP Input Sheet'!E10&lt;&gt;"",'IP Input Sheet'!E10,'IP Input Sheet'!F10)),"[Enter IP]")</f>
        <v>10.3.118.0/24</v>
      </c>
      <c r="E14" s="21" t="s">
        <v>869</v>
      </c>
      <c r="F14" s="21" t="s">
        <v>870</v>
      </c>
      <c r="G14" s="21" t="s">
        <v>251</v>
      </c>
      <c r="H14" s="21" t="s">
        <v>252</v>
      </c>
      <c r="I14" s="21" t="s">
        <v>871</v>
      </c>
      <c r="J14" s="22" t="s">
        <v>254</v>
      </c>
      <c r="K14" s="23" t="s">
        <v>255</v>
      </c>
      <c r="L14" s="21" t="s">
        <v>256</v>
      </c>
      <c r="M14" s="21" t="s">
        <v>872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4" t="s">
        <v>873</v>
      </c>
      <c r="B15" s="24" t="s">
        <v>874</v>
      </c>
      <c r="C15" s="24" t="s">
        <v>27</v>
      </c>
      <c r="D15" s="24" t="str">
        <f>IFERROR(IF('IP Input Sheet'!D10&lt;&gt;"",'IP Input Sheet'!D10,IF('IP Input Sheet'!E10&lt;&gt;"",'IP Input Sheet'!E10,'IP Input Sheet'!F10)),"[Enter IP]")</f>
        <v>10.3.118.0/24</v>
      </c>
      <c r="E15" s="24" t="s">
        <v>203</v>
      </c>
      <c r="F15" s="24"/>
      <c r="G15" s="24" t="s">
        <v>271</v>
      </c>
      <c r="H15" s="24" t="s">
        <v>272</v>
      </c>
      <c r="I15" s="24" t="s">
        <v>875</v>
      </c>
      <c r="J15" s="22" t="s">
        <v>254</v>
      </c>
      <c r="K15" s="23" t="s">
        <v>255</v>
      </c>
      <c r="L15" s="24" t="s">
        <v>256</v>
      </c>
      <c r="M15" s="2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1" t="s">
        <v>876</v>
      </c>
      <c r="B16" s="21" t="s">
        <v>877</v>
      </c>
      <c r="C16" s="21" t="s">
        <v>27</v>
      </c>
      <c r="D16" s="21" t="str">
        <f>IFERROR(IF('IP Input Sheet'!D10&lt;&gt;"",'IP Input Sheet'!D10,IF('IP Input Sheet'!E10&lt;&gt;"",'IP Input Sheet'!E10,'IP Input Sheet'!F10)),"[Enter IP]")</f>
        <v>10.3.118.0/24</v>
      </c>
      <c r="E16" s="21" t="s">
        <v>207</v>
      </c>
      <c r="F16" s="21"/>
      <c r="G16" s="21" t="s">
        <v>277</v>
      </c>
      <c r="H16" s="21" t="s">
        <v>278</v>
      </c>
      <c r="I16" s="21" t="s">
        <v>611</v>
      </c>
      <c r="J16" s="22" t="s">
        <v>254</v>
      </c>
      <c r="K16" s="23" t="s">
        <v>255</v>
      </c>
      <c r="L16" s="21" t="s">
        <v>256</v>
      </c>
      <c r="M16" s="2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4" t="s">
        <v>878</v>
      </c>
      <c r="B17" s="24" t="s">
        <v>879</v>
      </c>
      <c r="C17" s="24" t="s">
        <v>27</v>
      </c>
      <c r="D17" s="24" t="str">
        <f>IFERROR(IF('IP Input Sheet'!D10&lt;&gt;"",'IP Input Sheet'!D10,IF('IP Input Sheet'!E10&lt;&gt;"",'IP Input Sheet'!E10,'IP Input Sheet'!F10)),"[Enter IP]")</f>
        <v>10.3.118.0/24</v>
      </c>
      <c r="E17" s="24" t="s">
        <v>335</v>
      </c>
      <c r="F17" s="24" t="str">
        <f>IF('IP Input Sheet'!$D$64&lt;&gt;"",'IP Input Sheet'!$D$64,IF('IP Input Sheet'!$E$64&lt;&gt;"",'IP Input Sheet'!$E$64,'IP Input Sheet'!$F$64))</f>
        <v>N/A — shared</v>
      </c>
      <c r="G17" s="24" t="s">
        <v>287</v>
      </c>
      <c r="H17" s="24" t="s">
        <v>252</v>
      </c>
      <c r="I17" s="24" t="s">
        <v>336</v>
      </c>
      <c r="J17" s="22" t="s">
        <v>254</v>
      </c>
      <c r="K17" s="23" t="s">
        <v>255</v>
      </c>
      <c r="L17" s="24" t="s">
        <v>256</v>
      </c>
      <c r="M17" s="24" t="s">
        <v>860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1" t="s">
        <v>880</v>
      </c>
      <c r="B18" s="21" t="s">
        <v>881</v>
      </c>
      <c r="C18" s="21" t="s">
        <v>27</v>
      </c>
      <c r="D18" s="21" t="str">
        <f>IFERROR(IF('IP Input Sheet'!D10&lt;&gt;"",'IP Input Sheet'!D10,IF('IP Input Sheet'!E10&lt;&gt;"",'IP Input Sheet'!E10,'IP Input Sheet'!F10)),"[Enter IP]")</f>
        <v>10.3.118.0/24</v>
      </c>
      <c r="E18" s="21" t="s">
        <v>213</v>
      </c>
      <c r="F18" s="21"/>
      <c r="G18" s="21" t="s">
        <v>251</v>
      </c>
      <c r="H18" s="21" t="s">
        <v>252</v>
      </c>
      <c r="I18" s="21" t="s">
        <v>882</v>
      </c>
      <c r="J18" s="22" t="s">
        <v>254</v>
      </c>
      <c r="K18" s="23" t="s">
        <v>255</v>
      </c>
      <c r="L18" s="21" t="s">
        <v>256</v>
      </c>
      <c r="M18" s="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4" t="s">
        <v>883</v>
      </c>
      <c r="B19" s="24" t="s">
        <v>884</v>
      </c>
      <c r="C19" s="24" t="s">
        <v>744</v>
      </c>
      <c r="D19" s="24" t="s">
        <v>885</v>
      </c>
      <c r="E19" s="24" t="s">
        <v>886</v>
      </c>
      <c r="F19" s="24" t="s">
        <v>887</v>
      </c>
      <c r="G19" s="24" t="s">
        <v>746</v>
      </c>
      <c r="H19" s="24" t="s">
        <v>746</v>
      </c>
      <c r="I19" s="24" t="s">
        <v>888</v>
      </c>
      <c r="J19" s="22" t="s">
        <v>254</v>
      </c>
      <c r="K19" s="23" t="s">
        <v>255</v>
      </c>
      <c r="L19" s="24" t="s">
        <v>261</v>
      </c>
      <c r="M19" s="24" t="s">
        <v>889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 t="s">
        <v>890</v>
      </c>
      <c r="B20" s="11" t="s">
        <v>891</v>
      </c>
      <c r="C20" s="11" t="s">
        <v>44</v>
      </c>
      <c r="D20" s="11" t="str">
        <f>IF('IP Input Sheet'!$D$15&lt;&gt;"",'IP Input Sheet'!$D$15,IF('IP Input Sheet'!$E$15&lt;&gt;"",'IP Input Sheet'!$E$15,'IP Input Sheet'!$F$15))</f>
        <v>10.3.118.0/24</v>
      </c>
      <c r="E20" s="11" t="s">
        <v>335</v>
      </c>
      <c r="F20" s="11" t="str">
        <f>IF('IP Input Sheet'!$D$64&lt;&gt;"",'IP Input Sheet'!$D$64,IF('IP Input Sheet'!$E$64&lt;&gt;"",'IP Input Sheet'!$E$64,'IP Input Sheet'!$F$64))</f>
        <v>N/A — shared</v>
      </c>
      <c r="G20" s="11" t="s">
        <v>287</v>
      </c>
      <c r="H20" s="11" t="s">
        <v>252</v>
      </c>
      <c r="I20" s="11" t="s">
        <v>336</v>
      </c>
      <c r="J20" s="11" t="s">
        <v>254</v>
      </c>
      <c r="K20" s="11" t="s">
        <v>255</v>
      </c>
      <c r="L20" s="11" t="s">
        <v>256</v>
      </c>
      <c r="M20" s="11" t="s">
        <v>892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2">
    <mergeCell ref="A1:M1"/>
    <mergeCell ref="A2:M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0.0"/>
    <col customWidth="1" min="3" max="3" width="24.0"/>
    <col customWidth="1" min="4" max="4" width="26.0"/>
    <col customWidth="1" min="5" max="5" width="22.0"/>
    <col customWidth="1" min="6" max="6" width="16.0"/>
    <col customWidth="1" min="7" max="7" width="28.0"/>
    <col customWidth="1" min="8" max="8" width="12.0"/>
    <col customWidth="1" min="9" max="9" width="40.0"/>
  </cols>
  <sheetData>
    <row r="1" ht="27.75" customHeight="1">
      <c r="A1" s="20" t="s">
        <v>893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894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4" t="s">
        <v>2</v>
      </c>
      <c r="B3" s="4" t="s">
        <v>895</v>
      </c>
      <c r="C3" s="4" t="s">
        <v>896</v>
      </c>
      <c r="D3" s="4" t="s">
        <v>897</v>
      </c>
      <c r="E3" s="4" t="s">
        <v>898</v>
      </c>
      <c r="F3" s="4" t="s">
        <v>899</v>
      </c>
      <c r="G3" s="4" t="s">
        <v>238</v>
      </c>
      <c r="H3" s="4" t="s">
        <v>900</v>
      </c>
      <c r="I3" s="4" t="s">
        <v>248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21" t="s">
        <v>901</v>
      </c>
      <c r="B4" s="21" t="s">
        <v>902</v>
      </c>
      <c r="C4" s="21" t="str">
        <f>IFERROR(IF('IP Input Sheet'!D11&lt;&gt;"",'IP Input Sheet'!D11,IF('IP Input Sheet'!E11&lt;&gt;"",'IP Input Sheet'!E11,'IP Input Sheet'!F11)),"[Enter IP]")</f>
        <v>10.5.25.64/26</v>
      </c>
      <c r="D4" s="21" t="s">
        <v>903</v>
      </c>
      <c r="E4" s="21" t="s">
        <v>904</v>
      </c>
      <c r="F4" s="23" t="s">
        <v>905</v>
      </c>
      <c r="G4" s="21" t="s">
        <v>744</v>
      </c>
      <c r="H4" s="21" t="s">
        <v>906</v>
      </c>
      <c r="I4" s="21" t="s">
        <v>907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4" t="s">
        <v>908</v>
      </c>
      <c r="B5" s="24" t="s">
        <v>641</v>
      </c>
      <c r="C5" s="24" t="str">
        <f>IFERROR(IF('IP Input Sheet'!D5&lt;&gt;"",'IP Input Sheet'!D5,IF('IP Input Sheet'!E5&lt;&gt;"",'IP Input Sheet'!E5,'IP Input Sheet'!F5)),"[Enter IP]")</f>
        <v>10.5.25.86</v>
      </c>
      <c r="D5" s="24" t="s">
        <v>903</v>
      </c>
      <c r="E5" s="24" t="s">
        <v>904</v>
      </c>
      <c r="F5" s="23" t="s">
        <v>904</v>
      </c>
      <c r="G5" s="24" t="s">
        <v>10</v>
      </c>
      <c r="H5" s="24" t="s">
        <v>906</v>
      </c>
      <c r="I5" s="24" t="s">
        <v>909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1" t="s">
        <v>910</v>
      </c>
      <c r="B6" s="21" t="s">
        <v>14</v>
      </c>
      <c r="C6" s="21" t="str">
        <f>IFERROR(IF('IP Input Sheet'!D6&lt;&gt;"",'IP Input Sheet'!D6,IF('IP Input Sheet'!E6&lt;&gt;"",'IP Input Sheet'!E6,'IP Input Sheet'!F6)),"[Enter IP]")</f>
        <v>10.5.25.64/26</v>
      </c>
      <c r="D6" s="21" t="s">
        <v>903</v>
      </c>
      <c r="E6" s="21" t="s">
        <v>904</v>
      </c>
      <c r="F6" s="23" t="s">
        <v>904</v>
      </c>
      <c r="G6" s="21" t="s">
        <v>911</v>
      </c>
      <c r="H6" s="21" t="s">
        <v>906</v>
      </c>
      <c r="I6" s="21" t="s">
        <v>912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4" t="s">
        <v>913</v>
      </c>
      <c r="B7" s="24" t="s">
        <v>18</v>
      </c>
      <c r="C7" s="24" t="str">
        <f>IFERROR(IF('IP Input Sheet'!D7&lt;&gt;"",'IP Input Sheet'!D7,IF('IP Input Sheet'!E7&lt;&gt;"",'IP Input Sheet'!E7,'IP Input Sheet'!F7)),"[Enter IP]")</f>
        <v>10.5.25.64/26</v>
      </c>
      <c r="D7" s="24" t="s">
        <v>903</v>
      </c>
      <c r="E7" s="24" t="s">
        <v>904</v>
      </c>
      <c r="F7" s="23" t="s">
        <v>904</v>
      </c>
      <c r="G7" s="24" t="s">
        <v>286</v>
      </c>
      <c r="H7" s="24" t="s">
        <v>906</v>
      </c>
      <c r="I7" s="24" t="s">
        <v>912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1" t="s">
        <v>914</v>
      </c>
      <c r="B8" s="21" t="s">
        <v>915</v>
      </c>
      <c r="C8" s="21" t="str">
        <f>IFERROR(IF('IP Input Sheet'!D8&lt;&gt;"",'IP Input Sheet'!D8,IF('IP Input Sheet'!E8&lt;&gt;"",'IP Input Sheet'!E8,'IP Input Sheet'!F8)),"[Enter IP]")</f>
        <v>10.5.25.64/26</v>
      </c>
      <c r="D8" s="21" t="s">
        <v>903</v>
      </c>
      <c r="E8" s="21" t="s">
        <v>904</v>
      </c>
      <c r="F8" s="23" t="s">
        <v>904</v>
      </c>
      <c r="G8" s="21" t="s">
        <v>656</v>
      </c>
      <c r="H8" s="21" t="s">
        <v>906</v>
      </c>
      <c r="I8" s="21" t="s">
        <v>912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4" t="s">
        <v>916</v>
      </c>
      <c r="B9" s="24" t="s">
        <v>378</v>
      </c>
      <c r="C9" s="24" t="str">
        <f>IFERROR(IF('IP Input Sheet'!D9&lt;&gt;"",'IP Input Sheet'!D9,IF('IP Input Sheet'!E9&lt;&gt;"",'IP Input Sheet'!E9,'IP Input Sheet'!F9)),"[Enter IP]")</f>
        <v>10.5.25.64/26</v>
      </c>
      <c r="D9" s="24" t="s">
        <v>903</v>
      </c>
      <c r="E9" s="24" t="s">
        <v>904</v>
      </c>
      <c r="F9" s="23" t="s">
        <v>904</v>
      </c>
      <c r="G9" s="24" t="s">
        <v>665</v>
      </c>
      <c r="H9" s="24" t="s">
        <v>906</v>
      </c>
      <c r="I9" s="24" t="s">
        <v>912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1" t="s">
        <v>917</v>
      </c>
      <c r="B10" s="21" t="s">
        <v>27</v>
      </c>
      <c r="C10" s="21" t="str">
        <f>IFERROR(IF('IP Input Sheet'!D10&lt;&gt;"",'IP Input Sheet'!D10,IF('IP Input Sheet'!E10&lt;&gt;"",'IP Input Sheet'!E10,'IP Input Sheet'!F10)),"[Enter IP]")</f>
        <v>10.3.118.0/24</v>
      </c>
      <c r="D10" s="21" t="s">
        <v>903</v>
      </c>
      <c r="E10" s="21" t="s">
        <v>904</v>
      </c>
      <c r="F10" s="23" t="s">
        <v>904</v>
      </c>
      <c r="G10" s="21" t="s">
        <v>918</v>
      </c>
      <c r="H10" s="21" t="s">
        <v>906</v>
      </c>
      <c r="I10" s="21" t="s">
        <v>919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4" t="s">
        <v>920</v>
      </c>
      <c r="B11" s="24" t="s">
        <v>921</v>
      </c>
      <c r="C11" s="24" t="str">
        <f>IFERROR(IF('IP Input Sheet'!D13&lt;&gt;"",'IP Input Sheet'!D13,IF('IP Input Sheet'!E13&lt;&gt;"",'IP Input Sheet'!E13,'IP Input Sheet'!F13)),"[Enter IP]")</f>
        <v>10.3.118.18</v>
      </c>
      <c r="D11" s="24" t="s">
        <v>922</v>
      </c>
      <c r="E11" s="24" t="s">
        <v>923</v>
      </c>
      <c r="F11" s="36" t="s">
        <v>924</v>
      </c>
      <c r="G11" s="24" t="s">
        <v>925</v>
      </c>
      <c r="H11" s="24" t="s">
        <v>906</v>
      </c>
      <c r="I11" s="24" t="s">
        <v>926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1" t="s">
        <v>927</v>
      </c>
      <c r="B12" s="21" t="s">
        <v>36</v>
      </c>
      <c r="C12" s="21" t="str">
        <f>IFERROR(IF('IP Input Sheet'!D13&lt;&gt;"",'IP Input Sheet'!D13,IF('IP Input Sheet'!E13&lt;&gt;"",'IP Input Sheet'!E13,'IP Input Sheet'!F13)),"[Enter IP]")</f>
        <v>10.3.118.18</v>
      </c>
      <c r="D12" s="21" t="s">
        <v>922</v>
      </c>
      <c r="E12" s="21" t="s">
        <v>923</v>
      </c>
      <c r="F12" s="21" t="s">
        <v>928</v>
      </c>
      <c r="G12" s="21" t="s">
        <v>36</v>
      </c>
      <c r="H12" s="21" t="s">
        <v>906</v>
      </c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4" t="s">
        <v>929</v>
      </c>
      <c r="B13" s="24" t="s">
        <v>267</v>
      </c>
      <c r="C13" s="24" t="str">
        <f>IFERROR(IF('IP Input Sheet'!D14&lt;&gt;"",'IP Input Sheet'!D14,IF('IP Input Sheet'!E14&lt;&gt;"",'IP Input Sheet'!E14,'IP Input Sheet'!F14)),"[Enter IP]")</f>
        <v>10.3.118.0/24</v>
      </c>
      <c r="D13" s="24" t="s">
        <v>922</v>
      </c>
      <c r="E13" s="24" t="s">
        <v>923</v>
      </c>
      <c r="F13" s="24" t="s">
        <v>928</v>
      </c>
      <c r="G13" s="24" t="s">
        <v>267</v>
      </c>
      <c r="H13" s="24" t="s">
        <v>906</v>
      </c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1" t="s">
        <v>930</v>
      </c>
      <c r="B14" s="21" t="s">
        <v>47</v>
      </c>
      <c r="C14" s="21" t="str">
        <f>IFERROR(IF('IP Input Sheet'!D16&lt;&gt;"",'IP Input Sheet'!D16,IF('IP Input Sheet'!E16&lt;&gt;"",'IP Input Sheet'!E16,'IP Input Sheet'!F16)),"[Enter IP]")</f>
        <v>10.3.118.30</v>
      </c>
      <c r="D14" s="21" t="s">
        <v>922</v>
      </c>
      <c r="E14" s="21" t="s">
        <v>923</v>
      </c>
      <c r="F14" s="21" t="s">
        <v>928</v>
      </c>
      <c r="G14" s="21" t="s">
        <v>47</v>
      </c>
      <c r="H14" s="21" t="s">
        <v>906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4" t="s">
        <v>931</v>
      </c>
      <c r="B15" s="24" t="s">
        <v>932</v>
      </c>
      <c r="C15" s="24" t="str">
        <f>IFERROR(IF('IP Input Sheet'!D54&lt;&gt;"",'IP Input Sheet'!D54,IF('IP Input Sheet'!E54&lt;&gt;"",'IP Input Sheet'!E54,'IP Input Sheet'!F54)),"[Enter IP]")</f>
        <v>10.3.118.0/24</v>
      </c>
      <c r="D15" s="24" t="s">
        <v>922</v>
      </c>
      <c r="E15" s="24" t="s">
        <v>933</v>
      </c>
      <c r="F15" s="24" t="s">
        <v>928</v>
      </c>
      <c r="G15" s="24" t="s">
        <v>934</v>
      </c>
      <c r="H15" s="24" t="s">
        <v>906</v>
      </c>
      <c r="I15" s="24" t="s">
        <v>935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1" t="s">
        <v>936</v>
      </c>
      <c r="B16" s="21" t="s">
        <v>937</v>
      </c>
      <c r="C16" s="21" t="str">
        <f>IFERROR(IF('IP Input Sheet'!D18&lt;&gt;"",'IP Input Sheet'!D18,IF('IP Input Sheet'!E18&lt;&gt;"",'IP Input Sheet'!E18,'IP Input Sheet'!F18)),"[Enter IP]")</f>
        <v>10.3.118.0/24</v>
      </c>
      <c r="D16" s="21" t="s">
        <v>922</v>
      </c>
      <c r="E16" s="21" t="s">
        <v>938</v>
      </c>
      <c r="F16" s="21" t="s">
        <v>928</v>
      </c>
      <c r="G16" s="21" t="s">
        <v>939</v>
      </c>
      <c r="H16" s="21" t="s">
        <v>906</v>
      </c>
      <c r="I16" s="21" t="s">
        <v>940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4" t="s">
        <v>941</v>
      </c>
      <c r="B17" s="24" t="s">
        <v>190</v>
      </c>
      <c r="C17" s="24" t="str">
        <f>IFERROR(IF('IP Input Sheet'!D55&lt;&gt;"",'IP Input Sheet'!D55,IF('IP Input Sheet'!E55&lt;&gt;"",'IP Input Sheet'!E55,'IP Input Sheet'!F55)),"[Enter IP]")</f>
        <v/>
      </c>
      <c r="D17" s="24" t="s">
        <v>903</v>
      </c>
      <c r="E17" s="24" t="s">
        <v>942</v>
      </c>
      <c r="F17" s="39" t="s">
        <v>943</v>
      </c>
      <c r="G17" s="24" t="s">
        <v>944</v>
      </c>
      <c r="H17" s="24" t="s">
        <v>906</v>
      </c>
      <c r="I17" s="24" t="s">
        <v>945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1" t="s">
        <v>946</v>
      </c>
      <c r="B18" s="21" t="s">
        <v>203</v>
      </c>
      <c r="C18" s="21" t="str">
        <f>'IP Input Sheet'!D60</f>
        <v/>
      </c>
      <c r="D18" s="21" t="s">
        <v>947</v>
      </c>
      <c r="E18" s="21" t="s">
        <v>948</v>
      </c>
      <c r="F18" s="21" t="s">
        <v>928</v>
      </c>
      <c r="G18" s="21" t="s">
        <v>949</v>
      </c>
      <c r="H18" s="21" t="s">
        <v>950</v>
      </c>
      <c r="I18" s="21" t="s">
        <v>951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4" t="s">
        <v>952</v>
      </c>
      <c r="B19" s="24" t="s">
        <v>207</v>
      </c>
      <c r="C19" s="24" t="str">
        <f>'IP Input Sheet'!D61</f>
        <v/>
      </c>
      <c r="D19" s="24" t="s">
        <v>947</v>
      </c>
      <c r="E19" s="24" t="s">
        <v>948</v>
      </c>
      <c r="F19" s="24" t="s">
        <v>928</v>
      </c>
      <c r="G19" s="24" t="s">
        <v>949</v>
      </c>
      <c r="H19" s="24" t="s">
        <v>950</v>
      </c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1" t="s">
        <v>953</v>
      </c>
      <c r="B20" s="21" t="s">
        <v>322</v>
      </c>
      <c r="C20" s="21" t="str">
        <f>'IP Input Sheet'!D62</f>
        <v/>
      </c>
      <c r="D20" s="21" t="s">
        <v>947</v>
      </c>
      <c r="E20" s="21" t="s">
        <v>948</v>
      </c>
      <c r="F20" s="21" t="s">
        <v>928</v>
      </c>
      <c r="G20" s="21" t="s">
        <v>954</v>
      </c>
      <c r="H20" s="21" t="s">
        <v>950</v>
      </c>
      <c r="I20" s="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4" t="s">
        <v>955</v>
      </c>
      <c r="B21" s="24" t="s">
        <v>213</v>
      </c>
      <c r="C21" s="24" t="str">
        <f>'IP Input Sheet'!D63</f>
        <v/>
      </c>
      <c r="D21" s="24" t="s">
        <v>947</v>
      </c>
      <c r="E21" s="24" t="s">
        <v>948</v>
      </c>
      <c r="F21" s="24" t="s">
        <v>928</v>
      </c>
      <c r="G21" s="24" t="s">
        <v>954</v>
      </c>
      <c r="H21" s="24" t="s">
        <v>950</v>
      </c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1" t="s">
        <v>956</v>
      </c>
      <c r="B22" s="21" t="s">
        <v>216</v>
      </c>
      <c r="C22" s="21" t="str">
        <f>'IP Input Sheet'!D64</f>
        <v/>
      </c>
      <c r="D22" s="21" t="s">
        <v>947</v>
      </c>
      <c r="E22" s="21" t="s">
        <v>948</v>
      </c>
      <c r="F22" s="21" t="s">
        <v>928</v>
      </c>
      <c r="G22" s="21" t="s">
        <v>957</v>
      </c>
      <c r="H22" s="21" t="s">
        <v>950</v>
      </c>
      <c r="I22" s="2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4" t="s">
        <v>958</v>
      </c>
      <c r="B23" s="24" t="s">
        <v>959</v>
      </c>
      <c r="C23" s="24" t="s">
        <v>960</v>
      </c>
      <c r="D23" s="24" t="s">
        <v>961</v>
      </c>
      <c r="E23" s="24" t="s">
        <v>962</v>
      </c>
      <c r="F23" s="36" t="s">
        <v>963</v>
      </c>
      <c r="G23" s="24" t="s">
        <v>964</v>
      </c>
      <c r="H23" s="24" t="s">
        <v>965</v>
      </c>
      <c r="I23" s="24" t="s">
        <v>966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1" t="s">
        <v>967</v>
      </c>
      <c r="B24" s="21" t="s">
        <v>968</v>
      </c>
      <c r="C24" s="21" t="s">
        <v>969</v>
      </c>
      <c r="D24" s="21" t="s">
        <v>961</v>
      </c>
      <c r="E24" s="21" t="s">
        <v>970</v>
      </c>
      <c r="F24" s="36" t="s">
        <v>963</v>
      </c>
      <c r="G24" s="21" t="s">
        <v>455</v>
      </c>
      <c r="H24" s="21" t="s">
        <v>965</v>
      </c>
      <c r="I24" s="21" t="s">
        <v>971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4" t="s">
        <v>972</v>
      </c>
      <c r="B25" s="24" t="s">
        <v>973</v>
      </c>
      <c r="C25" s="24" t="s">
        <v>974</v>
      </c>
      <c r="D25" s="24" t="s">
        <v>975</v>
      </c>
      <c r="E25" s="24" t="s">
        <v>976</v>
      </c>
      <c r="F25" s="36" t="s">
        <v>963</v>
      </c>
      <c r="G25" s="24" t="s">
        <v>977</v>
      </c>
      <c r="H25" s="24" t="s">
        <v>950</v>
      </c>
      <c r="I25" s="24" t="s">
        <v>978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1" t="s">
        <v>979</v>
      </c>
      <c r="B26" s="21" t="s">
        <v>975</v>
      </c>
      <c r="C26" s="21" t="s">
        <v>980</v>
      </c>
      <c r="D26" s="21" t="s">
        <v>981</v>
      </c>
      <c r="E26" s="21" t="s">
        <v>982</v>
      </c>
      <c r="F26" s="39" t="s">
        <v>983</v>
      </c>
      <c r="G26" s="21" t="s">
        <v>984</v>
      </c>
      <c r="H26" s="21" t="s">
        <v>950</v>
      </c>
      <c r="I26" s="21" t="s">
        <v>985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4" t="s">
        <v>936</v>
      </c>
      <c r="B27" s="24" t="s">
        <v>404</v>
      </c>
      <c r="C27" s="24" t="str">
        <f>IFERROR(IF('IP Input Sheet'!D19&lt;&gt;"",'IP Input Sheet'!D19,IF('IP Input Sheet'!E19&lt;&gt;"",'IP Input Sheet'!E19,'IP Input Sheet'!F19)),"[Enter IP]")</f>
        <v>10.3.118.101</v>
      </c>
      <c r="D27" s="24" t="s">
        <v>922</v>
      </c>
      <c r="E27" s="24" t="s">
        <v>923</v>
      </c>
      <c r="F27" s="24" t="s">
        <v>928</v>
      </c>
      <c r="G27" s="24" t="s">
        <v>986</v>
      </c>
      <c r="H27" s="24" t="s">
        <v>987</v>
      </c>
      <c r="I27" s="24" t="s">
        <v>988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1" t="s">
        <v>941</v>
      </c>
      <c r="B28" s="21" t="s">
        <v>989</v>
      </c>
      <c r="C28" s="21" t="str">
        <f>'IP Input Sheet'!D22</f>
        <v>10.3.111.101</v>
      </c>
      <c r="D28" s="21" t="s">
        <v>990</v>
      </c>
      <c r="E28" s="21" t="s">
        <v>991</v>
      </c>
      <c r="F28" s="39" t="s">
        <v>992</v>
      </c>
      <c r="G28" s="21" t="s">
        <v>993</v>
      </c>
      <c r="H28" s="21" t="s">
        <v>965</v>
      </c>
      <c r="I28" s="21" t="s">
        <v>994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4" t="s">
        <v>946</v>
      </c>
      <c r="B29" s="24" t="s">
        <v>995</v>
      </c>
      <c r="C29" s="24" t="str">
        <f>'IP Input Sheet'!D23</f>
        <v>10.3.111.121</v>
      </c>
      <c r="D29" s="24" t="s">
        <v>990</v>
      </c>
      <c r="E29" s="24" t="s">
        <v>996</v>
      </c>
      <c r="F29" s="39" t="s">
        <v>992</v>
      </c>
      <c r="G29" s="24" t="s">
        <v>997</v>
      </c>
      <c r="H29" s="24" t="s">
        <v>965</v>
      </c>
      <c r="I29" s="24" t="s">
        <v>994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1" t="s">
        <v>952</v>
      </c>
      <c r="B30" s="21" t="s">
        <v>998</v>
      </c>
      <c r="C30" s="21" t="str">
        <f>'IP Input Sheet'!D24</f>
        <v>10.3.111.102</v>
      </c>
      <c r="D30" s="21" t="s">
        <v>999</v>
      </c>
      <c r="E30" s="21" t="s">
        <v>1000</v>
      </c>
      <c r="F30" s="39" t="s">
        <v>992</v>
      </c>
      <c r="G30" s="21" t="s">
        <v>993</v>
      </c>
      <c r="H30" s="21" t="s">
        <v>965</v>
      </c>
      <c r="I30" s="21" t="s">
        <v>1001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4" t="s">
        <v>953</v>
      </c>
      <c r="B31" s="24" t="s">
        <v>1002</v>
      </c>
      <c r="C31" s="24" t="str">
        <f>'IP Input Sheet'!D25</f>
        <v>10.3.111.122</v>
      </c>
      <c r="D31" s="24" t="s">
        <v>999</v>
      </c>
      <c r="E31" s="24" t="s">
        <v>1003</v>
      </c>
      <c r="F31" s="39" t="s">
        <v>992</v>
      </c>
      <c r="G31" s="24" t="s">
        <v>997</v>
      </c>
      <c r="H31" s="24" t="s">
        <v>965</v>
      </c>
      <c r="I31" s="24" t="s">
        <v>1001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1" t="s">
        <v>955</v>
      </c>
      <c r="B32" s="21" t="s">
        <v>1004</v>
      </c>
      <c r="C32" s="21" t="str">
        <f>IFERROR(IF('IP Input Sheet'!D30&lt;&gt;"",'IP Input Sheet'!D30,IF('IP Input Sheet'!E30&lt;&gt;"",'IP Input Sheet'!E30,'IP Input Sheet'!F30)),"[Enter IP]")</f>
        <v>10.5.236.0/24</v>
      </c>
      <c r="D32" s="21" t="s">
        <v>961</v>
      </c>
      <c r="E32" s="21" t="s">
        <v>1005</v>
      </c>
      <c r="F32" s="36" t="s">
        <v>963</v>
      </c>
      <c r="G32" s="21" t="s">
        <v>455</v>
      </c>
      <c r="H32" s="21" t="s">
        <v>965</v>
      </c>
      <c r="I32" s="21" t="s">
        <v>1006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4" t="s">
        <v>956</v>
      </c>
      <c r="B33" s="24" t="s">
        <v>1007</v>
      </c>
      <c r="C33" s="24" t="str">
        <f>IFERROR(IF('IP Input Sheet'!D31&lt;&gt;"",'IP Input Sheet'!D31,IF('IP Input Sheet'!E31&lt;&gt;"",'IP Input Sheet'!E31,'IP Input Sheet'!F31)),"[Enter IP]")</f>
        <v>10.5.22.0/24</v>
      </c>
      <c r="D33" s="24" t="s">
        <v>975</v>
      </c>
      <c r="E33" s="24" t="s">
        <v>1008</v>
      </c>
      <c r="F33" s="36" t="s">
        <v>963</v>
      </c>
      <c r="G33" s="24" t="s">
        <v>1009</v>
      </c>
      <c r="H33" s="24" t="s">
        <v>950</v>
      </c>
      <c r="I33" s="24" t="s">
        <v>1010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1" t="s">
        <v>958</v>
      </c>
      <c r="B34" s="21" t="s">
        <v>1011</v>
      </c>
      <c r="C34" s="21" t="str">
        <f>IFERROR(IF('IP Input Sheet'!D32&lt;&gt;"",'IP Input Sheet'!D32,IF('IP Input Sheet'!E32&lt;&gt;"",'IP Input Sheet'!E32,'IP Input Sheet'!F32)),"[Enter IP]")</f>
        <v>10.3.111.97</v>
      </c>
      <c r="D34" s="21" t="s">
        <v>1012</v>
      </c>
      <c r="E34" s="21" t="s">
        <v>1013</v>
      </c>
      <c r="F34" s="39" t="s">
        <v>983</v>
      </c>
      <c r="G34" s="21" t="s">
        <v>1014</v>
      </c>
      <c r="H34" s="21" t="s">
        <v>965</v>
      </c>
      <c r="I34" s="21" t="s">
        <v>1015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8" t="s">
        <v>1016</v>
      </c>
      <c r="B35" s="28" t="s">
        <v>1017</v>
      </c>
      <c r="C35" s="28" t="str">
        <f>IFERROR(IF('IP Input Sheet'!D21&lt;&gt;"",'IP Input Sheet'!D21,IF('IP Input Sheet'!E21&lt;&gt;"",'IP Input Sheet'!E21,'IP Input Sheet'!F21)),"[Enter IP]")</f>
        <v/>
      </c>
      <c r="D35" s="28" t="s">
        <v>1018</v>
      </c>
      <c r="E35" s="28" t="s">
        <v>1019</v>
      </c>
      <c r="F35" s="40" t="s">
        <v>992</v>
      </c>
      <c r="G35" s="28" t="s">
        <v>1020</v>
      </c>
      <c r="H35" s="28" t="s">
        <v>965</v>
      </c>
      <c r="I35" s="28" t="s">
        <v>1021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6" t="s">
        <v>1022</v>
      </c>
      <c r="B36" s="26" t="s">
        <v>1023</v>
      </c>
      <c r="C36" s="26" t="str">
        <f>IFERROR(IF('IP Input Sheet'!D22&lt;&gt;"",'IP Input Sheet'!D22,IF('IP Input Sheet'!E22&lt;&gt;"",'IP Input Sheet'!E22,'IP Input Sheet'!F22)),"[Enter IP]")</f>
        <v>10.3.111.101</v>
      </c>
      <c r="D36" s="26" t="s">
        <v>1024</v>
      </c>
      <c r="E36" s="26" t="s">
        <v>1025</v>
      </c>
      <c r="F36" s="40" t="s">
        <v>992</v>
      </c>
      <c r="G36" s="26" t="s">
        <v>1020</v>
      </c>
      <c r="H36" s="26" t="s">
        <v>965</v>
      </c>
      <c r="I36" s="26" t="s">
        <v>1026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8" t="s">
        <v>1027</v>
      </c>
      <c r="B37" s="28" t="s">
        <v>1028</v>
      </c>
      <c r="C37" s="28" t="str">
        <f>IFERROR(IF('IP Input Sheet'!D23&lt;&gt;"",'IP Input Sheet'!D23,IF('IP Input Sheet'!E23&lt;&gt;"",'IP Input Sheet'!E23,'IP Input Sheet'!F23)),"[Enter IP]")</f>
        <v>10.3.111.121</v>
      </c>
      <c r="D37" s="28" t="s">
        <v>1018</v>
      </c>
      <c r="E37" s="28" t="s">
        <v>1019</v>
      </c>
      <c r="F37" s="40" t="s">
        <v>992</v>
      </c>
      <c r="G37" s="28" t="s">
        <v>1029</v>
      </c>
      <c r="H37" s="28" t="s">
        <v>965</v>
      </c>
      <c r="I37" s="28" t="s">
        <v>1030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6" t="s">
        <v>1031</v>
      </c>
      <c r="B38" s="26" t="s">
        <v>1032</v>
      </c>
      <c r="C38" s="26" t="str">
        <f>IFERROR(IF('IP Input Sheet'!D24&lt;&gt;"",'IP Input Sheet'!D24,IF('IP Input Sheet'!E24&lt;&gt;"",'IP Input Sheet'!E24,'IP Input Sheet'!F24)),"[Enter IP]")</f>
        <v>10.3.111.102</v>
      </c>
      <c r="D38" s="26" t="s">
        <v>1024</v>
      </c>
      <c r="E38" s="26" t="s">
        <v>1025</v>
      </c>
      <c r="F38" s="40" t="s">
        <v>992</v>
      </c>
      <c r="G38" s="26" t="s">
        <v>1029</v>
      </c>
      <c r="H38" s="26" t="s">
        <v>965</v>
      </c>
      <c r="I38" s="26" t="s">
        <v>1033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8" t="s">
        <v>1034</v>
      </c>
      <c r="B39" s="28" t="s">
        <v>1035</v>
      </c>
      <c r="C39" s="28" t="str">
        <f>IFERROR(IF('IP Input Sheet'!D25&lt;&gt;"",'IP Input Sheet'!D25,IF('IP Input Sheet'!E25&lt;&gt;"",'IP Input Sheet'!E25,'IP Input Sheet'!F25)),"[Enter IP]")</f>
        <v>10.3.111.122</v>
      </c>
      <c r="D39" s="28" t="s">
        <v>1036</v>
      </c>
      <c r="E39" s="28" t="s">
        <v>1037</v>
      </c>
      <c r="F39" s="40" t="s">
        <v>992</v>
      </c>
      <c r="G39" s="28" t="s">
        <v>1038</v>
      </c>
      <c r="H39" s="28" t="s">
        <v>965</v>
      </c>
      <c r="I39" s="28" t="s">
        <v>1039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6" t="s">
        <v>1040</v>
      </c>
      <c r="B40" s="26" t="s">
        <v>1041</v>
      </c>
      <c r="C40" s="26" t="str">
        <f>IFERROR(IF('IP Input Sheet'!D26&lt;&gt;"",'IP Input Sheet'!D26,IF('IP Input Sheet'!E26&lt;&gt;"",'IP Input Sheet'!E26,'IP Input Sheet'!F26)),"[Enter IP]")</f>
        <v>10.3.111.133</v>
      </c>
      <c r="D40" s="26" t="s">
        <v>1042</v>
      </c>
      <c r="E40" s="26" t="s">
        <v>1043</v>
      </c>
      <c r="F40" s="40" t="s">
        <v>992</v>
      </c>
      <c r="G40" s="26" t="s">
        <v>1038</v>
      </c>
      <c r="H40" s="26" t="s">
        <v>965</v>
      </c>
      <c r="I40" s="26" t="s">
        <v>1044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8" t="s">
        <v>1045</v>
      </c>
      <c r="B41" s="28" t="s">
        <v>1046</v>
      </c>
      <c r="C41" s="28" t="str">
        <f>IFERROR(IF('IP Input Sheet'!D27&lt;&gt;"",'IP Input Sheet'!D27,IF('IP Input Sheet'!E27&lt;&gt;"",'IP Input Sheet'!E27,'IP Input Sheet'!F27)),"[Enter IP]")</f>
        <v>10.3.111.153</v>
      </c>
      <c r="D41" s="28" t="s">
        <v>1036</v>
      </c>
      <c r="E41" s="28" t="s">
        <v>1037</v>
      </c>
      <c r="F41" s="40" t="s">
        <v>992</v>
      </c>
      <c r="G41" s="28" t="s">
        <v>1047</v>
      </c>
      <c r="H41" s="28" t="s">
        <v>965</v>
      </c>
      <c r="I41" s="28" t="s">
        <v>1048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6" t="s">
        <v>1049</v>
      </c>
      <c r="B42" s="26" t="s">
        <v>1050</v>
      </c>
      <c r="C42" s="26" t="str">
        <f>IFERROR(IF('IP Input Sheet'!D28&lt;&gt;"",'IP Input Sheet'!D28,IF('IP Input Sheet'!E28&lt;&gt;"",'IP Input Sheet'!E28,'IP Input Sheet'!F28)),"[Enter IP]")</f>
        <v>10.3.111.134</v>
      </c>
      <c r="D42" s="26" t="s">
        <v>1042</v>
      </c>
      <c r="E42" s="26" t="s">
        <v>1043</v>
      </c>
      <c r="F42" s="40" t="s">
        <v>992</v>
      </c>
      <c r="G42" s="26" t="s">
        <v>1047</v>
      </c>
      <c r="H42" s="26" t="s">
        <v>965</v>
      </c>
      <c r="I42" s="26" t="s">
        <v>1051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8" t="s">
        <v>1052</v>
      </c>
      <c r="B43" s="28" t="s">
        <v>1004</v>
      </c>
      <c r="C43" s="28" t="str">
        <f>IFERROR(IF('IP Input Sheet'!D29&lt;&gt;"",'IP Input Sheet'!D29,IF('IP Input Sheet'!E29&lt;&gt;"",'IP Input Sheet'!E29,'IP Input Sheet'!F29)),"[Enter IP]")</f>
        <v>10.3.111.154</v>
      </c>
      <c r="D43" s="28" t="s">
        <v>961</v>
      </c>
      <c r="E43" s="28" t="s">
        <v>1005</v>
      </c>
      <c r="F43" s="29" t="s">
        <v>963</v>
      </c>
      <c r="G43" s="28" t="s">
        <v>455</v>
      </c>
      <c r="H43" s="28" t="s">
        <v>965</v>
      </c>
      <c r="I43" s="28" t="s">
        <v>1053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6" t="s">
        <v>1054</v>
      </c>
      <c r="B44" s="26" t="s">
        <v>1055</v>
      </c>
      <c r="C44" s="26" t="str">
        <f>IFERROR(IF('IP Input Sheet'!D30&lt;&gt;"",'IP Input Sheet'!D30,IF('IP Input Sheet'!E30&lt;&gt;"",'IP Input Sheet'!E30,'IP Input Sheet'!F30)),"[Enter IP]")</f>
        <v>10.5.236.0/24</v>
      </c>
      <c r="D44" s="26" t="s">
        <v>975</v>
      </c>
      <c r="E44" s="26" t="s">
        <v>1008</v>
      </c>
      <c r="F44" s="29" t="s">
        <v>963</v>
      </c>
      <c r="G44" s="26" t="s">
        <v>1056</v>
      </c>
      <c r="H44" s="26" t="s">
        <v>950</v>
      </c>
      <c r="I44" s="26" t="s">
        <v>1057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4040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26.0"/>
    <col customWidth="1" min="4" max="5" width="36.0"/>
    <col customWidth="1" min="6" max="6" width="44.0"/>
  </cols>
  <sheetData>
    <row r="1" ht="27.75" customHeight="1">
      <c r="A1" s="20" t="s">
        <v>1058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4" t="s">
        <v>242</v>
      </c>
      <c r="B2" s="4" t="s">
        <v>243</v>
      </c>
      <c r="C2" s="4" t="s">
        <v>1059</v>
      </c>
      <c r="D2" s="4" t="s">
        <v>1060</v>
      </c>
      <c r="E2" s="4" t="s">
        <v>1061</v>
      </c>
      <c r="F2" s="4" t="s">
        <v>248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41" t="s">
        <v>287</v>
      </c>
      <c r="B3" s="24" t="s">
        <v>252</v>
      </c>
      <c r="C3" s="24" t="s">
        <v>363</v>
      </c>
      <c r="D3" s="24" t="s">
        <v>1062</v>
      </c>
      <c r="E3" s="24" t="s">
        <v>1063</v>
      </c>
      <c r="F3" s="24" t="s">
        <v>1064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42" t="s">
        <v>1065</v>
      </c>
      <c r="B4" s="21" t="s">
        <v>1066</v>
      </c>
      <c r="C4" s="21" t="s">
        <v>1067</v>
      </c>
      <c r="D4" s="21" t="s">
        <v>918</v>
      </c>
      <c r="E4" s="21" t="s">
        <v>1068</v>
      </c>
      <c r="F4" s="21" t="s">
        <v>1069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75" customHeight="1">
      <c r="A5" s="41" t="s">
        <v>271</v>
      </c>
      <c r="B5" s="24" t="s">
        <v>272</v>
      </c>
      <c r="C5" s="24" t="s">
        <v>846</v>
      </c>
      <c r="D5" s="24" t="s">
        <v>1070</v>
      </c>
      <c r="E5" s="24" t="s">
        <v>1071</v>
      </c>
      <c r="F5" s="24" t="s">
        <v>1072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42" t="s">
        <v>277</v>
      </c>
      <c r="B6" s="21" t="s">
        <v>278</v>
      </c>
      <c r="C6" s="21" t="s">
        <v>1073</v>
      </c>
      <c r="D6" s="21" t="s">
        <v>1070</v>
      </c>
      <c r="E6" s="21" t="s">
        <v>1074</v>
      </c>
      <c r="F6" s="21" t="s">
        <v>1075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41" t="s">
        <v>399</v>
      </c>
      <c r="B7" s="24" t="s">
        <v>252</v>
      </c>
      <c r="C7" s="24" t="s">
        <v>1076</v>
      </c>
      <c r="D7" s="24" t="s">
        <v>378</v>
      </c>
      <c r="E7" s="24" t="s">
        <v>1077</v>
      </c>
      <c r="F7" s="24" t="s">
        <v>1078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42" t="s">
        <v>323</v>
      </c>
      <c r="B8" s="21" t="s">
        <v>272</v>
      </c>
      <c r="C8" s="21" t="s">
        <v>1079</v>
      </c>
      <c r="D8" s="21" t="s">
        <v>1080</v>
      </c>
      <c r="E8" s="21" t="s">
        <v>1081</v>
      </c>
      <c r="F8" s="21" t="s">
        <v>1082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41" t="s">
        <v>251</v>
      </c>
      <c r="B9" s="24" t="s">
        <v>252</v>
      </c>
      <c r="C9" s="24" t="s">
        <v>1083</v>
      </c>
      <c r="D9" s="24" t="s">
        <v>1084</v>
      </c>
      <c r="E9" s="24" t="s">
        <v>1084</v>
      </c>
      <c r="F9" s="24" t="s">
        <v>1085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42" t="s">
        <v>657</v>
      </c>
      <c r="B10" s="21" t="s">
        <v>272</v>
      </c>
      <c r="C10" s="21" t="s">
        <v>1086</v>
      </c>
      <c r="D10" s="21" t="s">
        <v>1087</v>
      </c>
      <c r="E10" s="21" t="s">
        <v>915</v>
      </c>
      <c r="F10" s="21" t="s">
        <v>1088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41" t="s">
        <v>327</v>
      </c>
      <c r="B11" s="24" t="s">
        <v>252</v>
      </c>
      <c r="C11" s="24" t="s">
        <v>1089</v>
      </c>
      <c r="D11" s="24" t="s">
        <v>1080</v>
      </c>
      <c r="E11" s="24" t="s">
        <v>1081</v>
      </c>
      <c r="F11" s="24" t="s">
        <v>854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42" t="s">
        <v>356</v>
      </c>
      <c r="B12" s="21" t="s">
        <v>252</v>
      </c>
      <c r="C12" s="21" t="s">
        <v>586</v>
      </c>
      <c r="D12" s="21" t="s">
        <v>1090</v>
      </c>
      <c r="E12" s="21" t="s">
        <v>1091</v>
      </c>
      <c r="F12" s="21" t="s">
        <v>1092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41" t="s">
        <v>661</v>
      </c>
      <c r="B13" s="24" t="s">
        <v>252</v>
      </c>
      <c r="C13" s="24" t="s">
        <v>662</v>
      </c>
      <c r="D13" s="24" t="s">
        <v>1093</v>
      </c>
      <c r="E13" s="24" t="s">
        <v>915</v>
      </c>
      <c r="F13" s="24" t="s">
        <v>740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42" t="s">
        <v>379</v>
      </c>
      <c r="B14" s="21" t="s">
        <v>272</v>
      </c>
      <c r="C14" s="21" t="s">
        <v>1094</v>
      </c>
      <c r="D14" s="21" t="s">
        <v>1095</v>
      </c>
      <c r="E14" s="21" t="s">
        <v>1096</v>
      </c>
      <c r="F14" s="21" t="s">
        <v>1097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41" t="s">
        <v>331</v>
      </c>
      <c r="B15" s="24" t="s">
        <v>252</v>
      </c>
      <c r="C15" s="24" t="s">
        <v>857</v>
      </c>
      <c r="D15" s="24" t="s">
        <v>911</v>
      </c>
      <c r="E15" s="24" t="s">
        <v>1081</v>
      </c>
      <c r="F15" s="24" t="s">
        <v>1098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42" t="s">
        <v>384</v>
      </c>
      <c r="B16" s="21" t="s">
        <v>272</v>
      </c>
      <c r="C16" s="21" t="s">
        <v>1099</v>
      </c>
      <c r="D16" s="21" t="s">
        <v>1100</v>
      </c>
      <c r="E16" s="21" t="s">
        <v>1101</v>
      </c>
      <c r="F16" s="21" t="s">
        <v>1102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41" t="s">
        <v>293</v>
      </c>
      <c r="B17" s="24" t="s">
        <v>252</v>
      </c>
      <c r="C17" s="24" t="s">
        <v>1103</v>
      </c>
      <c r="D17" s="24" t="s">
        <v>1104</v>
      </c>
      <c r="E17" s="24" t="s">
        <v>1105</v>
      </c>
      <c r="F17" s="24" t="s">
        <v>1106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42" t="s">
        <v>676</v>
      </c>
      <c r="B18" s="21" t="s">
        <v>252</v>
      </c>
      <c r="C18" s="21" t="s">
        <v>1107</v>
      </c>
      <c r="D18" s="21" t="s">
        <v>1108</v>
      </c>
      <c r="E18" s="21" t="s">
        <v>1109</v>
      </c>
      <c r="F18" s="21" t="s">
        <v>1110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41" t="s">
        <v>312</v>
      </c>
      <c r="B19" s="24" t="s">
        <v>252</v>
      </c>
      <c r="C19" s="24" t="s">
        <v>1111</v>
      </c>
      <c r="D19" s="24" t="s">
        <v>641</v>
      </c>
      <c r="E19" s="24" t="s">
        <v>286</v>
      </c>
      <c r="F19" s="24" t="s">
        <v>1112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42" t="s">
        <v>649</v>
      </c>
      <c r="B20" s="21" t="s">
        <v>252</v>
      </c>
      <c r="C20" s="21" t="s">
        <v>650</v>
      </c>
      <c r="D20" s="21" t="s">
        <v>1113</v>
      </c>
      <c r="E20" s="21" t="s">
        <v>1114</v>
      </c>
      <c r="F20" s="21" t="s">
        <v>1115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41" t="s">
        <v>708</v>
      </c>
      <c r="B21" s="24" t="s">
        <v>252</v>
      </c>
      <c r="C21" s="24" t="s">
        <v>1116</v>
      </c>
      <c r="D21" s="24" t="s">
        <v>1117</v>
      </c>
      <c r="E21" s="24" t="s">
        <v>1109</v>
      </c>
      <c r="F21" s="24" t="s">
        <v>1118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42" t="s">
        <v>1119</v>
      </c>
      <c r="B22" s="21" t="s">
        <v>252</v>
      </c>
      <c r="C22" s="21" t="s">
        <v>1120</v>
      </c>
      <c r="D22" s="21" t="s">
        <v>1121</v>
      </c>
      <c r="E22" s="21" t="s">
        <v>47</v>
      </c>
      <c r="F22" s="21" t="s">
        <v>1122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41" t="s">
        <v>715</v>
      </c>
      <c r="B23" s="24" t="s">
        <v>252</v>
      </c>
      <c r="C23" s="24" t="s">
        <v>1123</v>
      </c>
      <c r="D23" s="24" t="s">
        <v>1117</v>
      </c>
      <c r="E23" s="24" t="s">
        <v>1109</v>
      </c>
      <c r="F23" s="24" t="s">
        <v>1124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42" t="s">
        <v>340</v>
      </c>
      <c r="B24" s="21" t="s">
        <v>252</v>
      </c>
      <c r="C24" s="21" t="s">
        <v>1125</v>
      </c>
      <c r="D24" s="21" t="s">
        <v>911</v>
      </c>
      <c r="E24" s="21" t="s">
        <v>36</v>
      </c>
      <c r="F24" s="21" t="s">
        <v>1126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75" customHeight="1">
      <c r="A25" s="41" t="s">
        <v>309</v>
      </c>
      <c r="B25" s="24" t="s">
        <v>252</v>
      </c>
      <c r="C25" s="24" t="s">
        <v>1127</v>
      </c>
      <c r="D25" s="24" t="s">
        <v>1128</v>
      </c>
      <c r="E25" s="24" t="s">
        <v>1129</v>
      </c>
      <c r="F25" s="24" t="s">
        <v>1130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75" customHeight="1">
      <c r="A26" s="42" t="s">
        <v>305</v>
      </c>
      <c r="B26" s="21" t="s">
        <v>252</v>
      </c>
      <c r="C26" s="21" t="s">
        <v>1127</v>
      </c>
      <c r="D26" s="21" t="s">
        <v>1128</v>
      </c>
      <c r="E26" s="21" t="s">
        <v>1129</v>
      </c>
      <c r="F26" s="21" t="s">
        <v>1130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75" customHeight="1">
      <c r="A27" s="41" t="s">
        <v>301</v>
      </c>
      <c r="B27" s="24" t="s">
        <v>252</v>
      </c>
      <c r="C27" s="24" t="s">
        <v>1131</v>
      </c>
      <c r="D27" s="24" t="s">
        <v>1128</v>
      </c>
      <c r="E27" s="24" t="s">
        <v>1129</v>
      </c>
      <c r="F27" s="24" t="s">
        <v>1132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2" t="s">
        <v>297</v>
      </c>
      <c r="B28" s="21" t="s">
        <v>252</v>
      </c>
      <c r="C28" s="21" t="s">
        <v>1133</v>
      </c>
      <c r="D28" s="21" t="s">
        <v>1128</v>
      </c>
      <c r="E28" s="21" t="s">
        <v>1129</v>
      </c>
      <c r="F28" s="21" t="s">
        <v>1134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41" t="s">
        <v>746</v>
      </c>
      <c r="B29" s="24" t="s">
        <v>746</v>
      </c>
      <c r="C29" s="24" t="s">
        <v>1135</v>
      </c>
      <c r="D29" s="24" t="s">
        <v>1136</v>
      </c>
      <c r="E29" s="24" t="s">
        <v>1136</v>
      </c>
      <c r="F29" s="24" t="s">
        <v>1137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42" t="s">
        <v>419</v>
      </c>
      <c r="B30" s="21" t="s">
        <v>252</v>
      </c>
      <c r="C30" s="21" t="s">
        <v>983</v>
      </c>
      <c r="D30" s="21" t="s">
        <v>1138</v>
      </c>
      <c r="E30" s="21" t="s">
        <v>1139</v>
      </c>
      <c r="F30" s="21" t="s">
        <v>1140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41" t="s">
        <v>1141</v>
      </c>
      <c r="B31" s="24" t="s">
        <v>278</v>
      </c>
      <c r="C31" s="24" t="s">
        <v>1142</v>
      </c>
      <c r="D31" s="24" t="s">
        <v>1138</v>
      </c>
      <c r="E31" s="24" t="s">
        <v>1143</v>
      </c>
      <c r="F31" s="24" t="s">
        <v>1144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42" t="s">
        <v>1145</v>
      </c>
      <c r="B32" s="21" t="s">
        <v>278</v>
      </c>
      <c r="C32" s="21" t="s">
        <v>1146</v>
      </c>
      <c r="D32" s="21" t="s">
        <v>455</v>
      </c>
      <c r="E32" s="21" t="s">
        <v>964</v>
      </c>
      <c r="F32" s="21" t="s">
        <v>1147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42" t="s">
        <v>457</v>
      </c>
      <c r="B33" s="26" t="s">
        <v>278</v>
      </c>
      <c r="C33" s="26" t="s">
        <v>1148</v>
      </c>
      <c r="D33" s="26" t="s">
        <v>1149</v>
      </c>
      <c r="E33" s="26" t="s">
        <v>1150</v>
      </c>
      <c r="F33" s="26" t="s">
        <v>1151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43" t="s">
        <v>1152</v>
      </c>
      <c r="B34" s="24" t="s">
        <v>252</v>
      </c>
      <c r="C34" s="24" t="s">
        <v>1153</v>
      </c>
      <c r="D34" s="24" t="s">
        <v>513</v>
      </c>
      <c r="E34" s="24" t="s">
        <v>514</v>
      </c>
      <c r="F34" s="24" t="s">
        <v>1154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34" t="s">
        <v>507</v>
      </c>
      <c r="B35" s="34" t="s">
        <v>278</v>
      </c>
      <c r="C35" s="39" t="s">
        <v>1155</v>
      </c>
      <c r="D35" s="39" t="s">
        <v>1156</v>
      </c>
      <c r="E35" s="39" t="s">
        <v>1157</v>
      </c>
      <c r="F35" s="44" t="s">
        <v>1158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34" t="s">
        <v>538</v>
      </c>
      <c r="B36" s="34" t="s">
        <v>252</v>
      </c>
      <c r="C36" s="39" t="s">
        <v>1159</v>
      </c>
      <c r="D36" s="39" t="s">
        <v>1160</v>
      </c>
      <c r="E36" s="39" t="s">
        <v>1161</v>
      </c>
      <c r="F36" s="44" t="s">
        <v>1162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34" t="s">
        <v>560</v>
      </c>
      <c r="B37" s="34" t="s">
        <v>252</v>
      </c>
      <c r="C37" s="39" t="s">
        <v>1163</v>
      </c>
      <c r="D37" s="39" t="s">
        <v>1164</v>
      </c>
      <c r="E37" s="39" t="s">
        <v>1165</v>
      </c>
      <c r="F37" s="44" t="s">
        <v>1166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34" t="s">
        <v>519</v>
      </c>
      <c r="B38" s="34" t="s">
        <v>252</v>
      </c>
      <c r="C38" s="39" t="s">
        <v>1167</v>
      </c>
      <c r="D38" s="39" t="s">
        <v>513</v>
      </c>
      <c r="E38" s="39" t="s">
        <v>1168</v>
      </c>
      <c r="F38" s="44" t="s">
        <v>1169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41" t="s">
        <v>1170</v>
      </c>
      <c r="B39" s="45" t="s">
        <v>252</v>
      </c>
      <c r="C39" s="24" t="s">
        <v>1171</v>
      </c>
      <c r="D39" s="24" t="s">
        <v>1172</v>
      </c>
      <c r="E39" s="24" t="s">
        <v>1173</v>
      </c>
      <c r="F39" s="24" t="s">
        <v>1174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41" t="s">
        <v>591</v>
      </c>
      <c r="B40" s="45" t="s">
        <v>252</v>
      </c>
      <c r="C40" s="24" t="s">
        <v>592</v>
      </c>
      <c r="D40" s="24" t="s">
        <v>574</v>
      </c>
      <c r="E40" s="24" t="s">
        <v>585</v>
      </c>
      <c r="F40" s="24" t="s">
        <v>1175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41" t="s">
        <v>596</v>
      </c>
      <c r="B41" s="45" t="s">
        <v>252</v>
      </c>
      <c r="C41" s="24" t="s">
        <v>1176</v>
      </c>
      <c r="D41" s="24" t="s">
        <v>574</v>
      </c>
      <c r="E41" s="24" t="s">
        <v>585</v>
      </c>
      <c r="F41" s="24" t="s">
        <v>1177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41" t="s">
        <v>601</v>
      </c>
      <c r="B42" s="45" t="s">
        <v>252</v>
      </c>
      <c r="C42" s="24" t="s">
        <v>1178</v>
      </c>
      <c r="D42" s="24" t="s">
        <v>574</v>
      </c>
      <c r="E42" s="24" t="s">
        <v>585</v>
      </c>
      <c r="F42" s="24" t="s">
        <v>1179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46" t="s">
        <v>628</v>
      </c>
      <c r="B43" s="47" t="s">
        <v>629</v>
      </c>
      <c r="C43" s="48" t="s">
        <v>1180</v>
      </c>
      <c r="D43" s="48" t="s">
        <v>626</v>
      </c>
      <c r="E43" s="48" t="s">
        <v>627</v>
      </c>
      <c r="F43" s="48" t="s">
        <v>1181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6" t="s">
        <v>635</v>
      </c>
      <c r="B44" s="47" t="s">
        <v>252</v>
      </c>
      <c r="C44" s="48" t="s">
        <v>1182</v>
      </c>
      <c r="D44" s="48" t="s">
        <v>1183</v>
      </c>
      <c r="E44" s="48" t="s">
        <v>1184</v>
      </c>
      <c r="F44" s="48" t="s">
        <v>1185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6" t="s">
        <v>616</v>
      </c>
      <c r="B45" s="47" t="s">
        <v>252</v>
      </c>
      <c r="C45" s="48" t="s">
        <v>1186</v>
      </c>
      <c r="D45" s="48" t="s">
        <v>574</v>
      </c>
      <c r="E45" s="48" t="s">
        <v>1187</v>
      </c>
      <c r="F45" s="48" t="s">
        <v>1188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6" t="s">
        <v>1189</v>
      </c>
      <c r="B46" s="47" t="s">
        <v>252</v>
      </c>
      <c r="C46" s="48" t="s">
        <v>1190</v>
      </c>
      <c r="D46" s="48" t="s">
        <v>626</v>
      </c>
      <c r="E46" s="48" t="s">
        <v>1191</v>
      </c>
      <c r="F46" s="48" t="s">
        <v>1192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0" customHeight="1">
      <c r="A47" s="46" t="s">
        <v>591</v>
      </c>
      <c r="B47" s="47" t="s">
        <v>629</v>
      </c>
      <c r="C47" s="48" t="s">
        <v>1193</v>
      </c>
      <c r="D47" s="48" t="s">
        <v>36</v>
      </c>
      <c r="E47" s="48" t="s">
        <v>1194</v>
      </c>
      <c r="F47" s="48" t="s">
        <v>1195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0" customHeight="1">
      <c r="A48" s="11"/>
      <c r="B48" s="11"/>
      <c r="C48" s="11"/>
      <c r="D48" s="11"/>
      <c r="E48" s="11"/>
      <c r="F48" s="1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0" customHeight="1">
      <c r="A49" s="11"/>
      <c r="B49" s="11"/>
      <c r="C49" s="11"/>
      <c r="D49" s="11"/>
      <c r="E49" s="11"/>
      <c r="F49" s="1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0" customHeight="1">
      <c r="A50" s="11"/>
      <c r="B50" s="11"/>
      <c r="C50" s="11"/>
      <c r="D50" s="11"/>
      <c r="E50" s="11"/>
      <c r="F50" s="1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0" customHeight="1">
      <c r="A51" s="11"/>
      <c r="B51" s="11"/>
      <c r="C51" s="11"/>
      <c r="D51" s="11"/>
      <c r="E51" s="11"/>
      <c r="F51" s="1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/>
      <c r="B52" s="11"/>
      <c r="C52" s="11"/>
      <c r="D52" s="11"/>
      <c r="E52" s="11"/>
      <c r="F52" s="1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/>
      <c r="B53" s="11"/>
      <c r="C53" s="11"/>
      <c r="D53" s="11"/>
      <c r="E53" s="11"/>
      <c r="F53" s="1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/>
      <c r="B54" s="11"/>
      <c r="C54" s="11"/>
      <c r="D54" s="11"/>
      <c r="E54" s="11"/>
      <c r="F54" s="1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/>
      <c r="B55" s="11"/>
      <c r="C55" s="11"/>
      <c r="D55" s="11"/>
      <c r="E55" s="11"/>
      <c r="F55" s="1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/>
      <c r="B56" s="11"/>
      <c r="C56" s="11"/>
      <c r="D56" s="11"/>
      <c r="E56" s="11"/>
      <c r="F56" s="1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/>
      <c r="B57" s="11"/>
      <c r="C57" s="11"/>
      <c r="D57" s="11"/>
      <c r="E57" s="11"/>
      <c r="F57" s="1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1"/>
      <c r="B58" s="11"/>
      <c r="C58" s="11"/>
      <c r="D58" s="11"/>
      <c r="E58" s="11"/>
      <c r="F58" s="1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/>
      <c r="B59" s="11"/>
      <c r="C59" s="11"/>
      <c r="D59" s="11"/>
      <c r="E59" s="11"/>
      <c r="F59" s="1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/>
      <c r="B60" s="11"/>
      <c r="C60" s="11"/>
      <c r="D60" s="11"/>
      <c r="E60" s="11"/>
      <c r="F60" s="1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/>
      <c r="B61" s="11"/>
      <c r="C61" s="11"/>
      <c r="D61" s="11"/>
      <c r="E61" s="11"/>
      <c r="F61" s="1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/>
      <c r="B62" s="11"/>
      <c r="C62" s="11"/>
      <c r="D62" s="11"/>
      <c r="E62" s="11"/>
      <c r="F62" s="1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1"/>
      <c r="B63" s="11"/>
      <c r="C63" s="11"/>
      <c r="D63" s="11"/>
      <c r="E63" s="11"/>
      <c r="F63" s="1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1"/>
      <c r="B64" s="11"/>
      <c r="C64" s="11"/>
      <c r="D64" s="11"/>
      <c r="E64" s="11"/>
      <c r="F64" s="1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1"/>
      <c r="B65" s="11"/>
      <c r="C65" s="11"/>
      <c r="D65" s="11"/>
      <c r="E65" s="11"/>
      <c r="F65" s="1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1"/>
      <c r="B66" s="11"/>
      <c r="C66" s="11"/>
      <c r="D66" s="11"/>
      <c r="E66" s="11"/>
      <c r="F66" s="1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1"/>
      <c r="B67" s="11"/>
      <c r="C67" s="11"/>
      <c r="D67" s="11"/>
      <c r="E67" s="11"/>
      <c r="F67" s="1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1"/>
      <c r="B68" s="11"/>
      <c r="C68" s="11"/>
      <c r="D68" s="11"/>
      <c r="E68" s="11"/>
      <c r="F68" s="1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1"/>
      <c r="B69" s="11"/>
      <c r="C69" s="11"/>
      <c r="D69" s="11"/>
      <c r="E69" s="11"/>
      <c r="F69" s="1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1"/>
      <c r="B70" s="11"/>
      <c r="C70" s="11"/>
      <c r="D70" s="11"/>
      <c r="E70" s="11"/>
      <c r="F70" s="1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1"/>
      <c r="B71" s="11"/>
      <c r="C71" s="11"/>
      <c r="D71" s="11"/>
      <c r="E71" s="11"/>
      <c r="F71" s="1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1"/>
      <c r="B72" s="11"/>
      <c r="C72" s="11"/>
      <c r="D72" s="11"/>
      <c r="E72" s="11"/>
      <c r="F72" s="1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1"/>
      <c r="B73" s="11"/>
      <c r="C73" s="11"/>
      <c r="D73" s="11"/>
      <c r="E73" s="11"/>
      <c r="F73" s="1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1"/>
      <c r="B74" s="11"/>
      <c r="C74" s="11"/>
      <c r="D74" s="11"/>
      <c r="E74" s="11"/>
      <c r="F74" s="1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1"/>
      <c r="B75" s="11"/>
      <c r="C75" s="11"/>
      <c r="D75" s="11"/>
      <c r="E75" s="11"/>
      <c r="F75" s="1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1"/>
      <c r="B76" s="11"/>
      <c r="C76" s="11"/>
      <c r="D76" s="11"/>
      <c r="E76" s="11"/>
      <c r="F76" s="1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1"/>
      <c r="B77" s="11"/>
      <c r="C77" s="11"/>
      <c r="D77" s="11"/>
      <c r="E77" s="11"/>
      <c r="F77" s="1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1"/>
      <c r="B78" s="11"/>
      <c r="C78" s="11"/>
      <c r="D78" s="11"/>
      <c r="E78" s="11"/>
      <c r="F78" s="1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1"/>
      <c r="B79" s="11"/>
      <c r="C79" s="11"/>
      <c r="D79" s="11"/>
      <c r="E79" s="11"/>
      <c r="F79" s="1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1"/>
      <c r="B80" s="11"/>
      <c r="C80" s="11"/>
      <c r="D80" s="11"/>
      <c r="E80" s="11"/>
      <c r="F80" s="1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1"/>
      <c r="B81" s="11"/>
      <c r="C81" s="11"/>
      <c r="D81" s="11"/>
      <c r="E81" s="11"/>
      <c r="F81" s="1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1"/>
      <c r="B82" s="11"/>
      <c r="C82" s="11"/>
      <c r="D82" s="11"/>
      <c r="E82" s="11"/>
      <c r="F82" s="1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1"/>
      <c r="B83" s="11"/>
      <c r="C83" s="11"/>
      <c r="D83" s="11"/>
      <c r="E83" s="11"/>
      <c r="F83" s="1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1"/>
      <c r="B84" s="11"/>
      <c r="C84" s="11"/>
      <c r="D84" s="11"/>
      <c r="E84" s="11"/>
      <c r="F84" s="1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1"/>
      <c r="B85" s="11"/>
      <c r="C85" s="11"/>
      <c r="D85" s="11"/>
      <c r="E85" s="11"/>
      <c r="F85" s="1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1"/>
      <c r="B86" s="11"/>
      <c r="C86" s="11"/>
      <c r="D86" s="11"/>
      <c r="E86" s="11"/>
      <c r="F86" s="1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1"/>
      <c r="B87" s="11"/>
      <c r="C87" s="11"/>
      <c r="D87" s="11"/>
      <c r="E87" s="11"/>
      <c r="F87" s="1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1"/>
      <c r="B88" s="11"/>
      <c r="C88" s="11"/>
      <c r="D88" s="11"/>
      <c r="E88" s="11"/>
      <c r="F88" s="1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1"/>
      <c r="B89" s="11"/>
      <c r="C89" s="11"/>
      <c r="D89" s="11"/>
      <c r="E89" s="11"/>
      <c r="F89" s="1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1"/>
      <c r="B90" s="11"/>
      <c r="C90" s="11"/>
      <c r="D90" s="11"/>
      <c r="E90" s="11"/>
      <c r="F90" s="1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1"/>
      <c r="B91" s="11"/>
      <c r="C91" s="11"/>
      <c r="D91" s="11"/>
      <c r="E91" s="11"/>
      <c r="F91" s="1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1"/>
      <c r="B92" s="11"/>
      <c r="C92" s="11"/>
      <c r="D92" s="11"/>
      <c r="E92" s="11"/>
      <c r="F92" s="1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1"/>
      <c r="B93" s="11"/>
      <c r="C93" s="11"/>
      <c r="D93" s="11"/>
      <c r="E93" s="11"/>
      <c r="F93" s="1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1"/>
      <c r="B94" s="11"/>
      <c r="C94" s="11"/>
      <c r="D94" s="11"/>
      <c r="E94" s="11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1"/>
      <c r="B95" s="11"/>
      <c r="C95" s="11"/>
      <c r="D95" s="11"/>
      <c r="E95" s="11"/>
      <c r="F95" s="1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1"/>
      <c r="B96" s="11"/>
      <c r="C96" s="11"/>
      <c r="D96" s="11"/>
      <c r="E96" s="11"/>
      <c r="F96" s="1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1"/>
      <c r="B97" s="11"/>
      <c r="C97" s="11"/>
      <c r="D97" s="11"/>
      <c r="E97" s="11"/>
      <c r="F97" s="1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1"/>
      <c r="B98" s="11"/>
      <c r="C98" s="11"/>
      <c r="D98" s="11"/>
      <c r="E98" s="11"/>
      <c r="F98" s="1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1"/>
      <c r="B99" s="11"/>
      <c r="C99" s="11"/>
      <c r="D99" s="11"/>
      <c r="E99" s="11"/>
      <c r="F99" s="1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1"/>
      <c r="B100" s="11"/>
      <c r="C100" s="11"/>
      <c r="D100" s="11"/>
      <c r="E100" s="11"/>
      <c r="F100" s="1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1"/>
      <c r="B101" s="11"/>
      <c r="C101" s="11"/>
      <c r="D101" s="11"/>
      <c r="E101" s="11"/>
      <c r="F101" s="1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1"/>
      <c r="B102" s="11"/>
      <c r="C102" s="11"/>
      <c r="D102" s="11"/>
      <c r="E102" s="11"/>
      <c r="F102" s="1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1"/>
      <c r="B103" s="11"/>
      <c r="C103" s="11"/>
      <c r="D103" s="11"/>
      <c r="E103" s="11"/>
      <c r="F103" s="1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1"/>
      <c r="B104" s="11"/>
      <c r="C104" s="11"/>
      <c r="D104" s="11"/>
      <c r="E104" s="11"/>
      <c r="F104" s="1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1"/>
      <c r="B105" s="11"/>
      <c r="C105" s="11"/>
      <c r="D105" s="11"/>
      <c r="E105" s="11"/>
      <c r="F105" s="1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1"/>
      <c r="B106" s="11"/>
      <c r="C106" s="11"/>
      <c r="D106" s="11"/>
      <c r="E106" s="11"/>
      <c r="F106" s="1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1"/>
      <c r="B107" s="11"/>
      <c r="C107" s="11"/>
      <c r="D107" s="11"/>
      <c r="E107" s="11"/>
      <c r="F107" s="1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1"/>
      <c r="B108" s="11"/>
      <c r="C108" s="11"/>
      <c r="D108" s="11"/>
      <c r="E108" s="11"/>
      <c r="F108" s="1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1"/>
      <c r="B109" s="11"/>
      <c r="C109" s="11"/>
      <c r="D109" s="11"/>
      <c r="E109" s="11"/>
      <c r="F109" s="1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1"/>
      <c r="B110" s="11"/>
      <c r="C110" s="11"/>
      <c r="D110" s="11"/>
      <c r="E110" s="11"/>
      <c r="F110" s="1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1"/>
      <c r="B111" s="11"/>
      <c r="C111" s="11"/>
      <c r="D111" s="11"/>
      <c r="E111" s="11"/>
      <c r="F111" s="1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1"/>
      <c r="B112" s="11"/>
      <c r="C112" s="11"/>
      <c r="D112" s="11"/>
      <c r="E112" s="11"/>
      <c r="F112" s="1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1"/>
      <c r="B113" s="11"/>
      <c r="C113" s="11"/>
      <c r="D113" s="11"/>
      <c r="E113" s="11"/>
      <c r="F113" s="1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1"/>
      <c r="B114" s="11"/>
      <c r="C114" s="11"/>
      <c r="D114" s="11"/>
      <c r="E114" s="11"/>
      <c r="F114" s="1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1"/>
      <c r="B115" s="11"/>
      <c r="C115" s="11"/>
      <c r="D115" s="11"/>
      <c r="E115" s="11"/>
      <c r="F115" s="1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1"/>
      <c r="B116" s="11"/>
      <c r="C116" s="11"/>
      <c r="D116" s="11"/>
      <c r="E116" s="11"/>
      <c r="F116" s="1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1"/>
      <c r="B117" s="11"/>
      <c r="C117" s="11"/>
      <c r="D117" s="11"/>
      <c r="E117" s="11"/>
      <c r="F117" s="1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1"/>
      <c r="B118" s="11"/>
      <c r="C118" s="11"/>
      <c r="D118" s="11"/>
      <c r="E118" s="11"/>
      <c r="F118" s="1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1"/>
      <c r="B119" s="11"/>
      <c r="C119" s="11"/>
      <c r="D119" s="11"/>
      <c r="E119" s="11"/>
      <c r="F119" s="1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1"/>
      <c r="B120" s="11"/>
      <c r="C120" s="11"/>
      <c r="D120" s="11"/>
      <c r="E120" s="11"/>
      <c r="F120" s="1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1"/>
      <c r="B121" s="11"/>
      <c r="C121" s="11"/>
      <c r="D121" s="11"/>
      <c r="E121" s="11"/>
      <c r="F121" s="1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1"/>
      <c r="B122" s="11"/>
      <c r="C122" s="11"/>
      <c r="D122" s="11"/>
      <c r="E122" s="11"/>
      <c r="F122" s="1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1"/>
      <c r="B123" s="11"/>
      <c r="C123" s="11"/>
      <c r="D123" s="11"/>
      <c r="E123" s="11"/>
      <c r="F123" s="1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1"/>
      <c r="B124" s="11"/>
      <c r="C124" s="11"/>
      <c r="D124" s="11"/>
      <c r="E124" s="11"/>
      <c r="F124" s="1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1"/>
      <c r="B125" s="11"/>
      <c r="C125" s="11"/>
      <c r="D125" s="11"/>
      <c r="E125" s="11"/>
      <c r="F125" s="1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1"/>
      <c r="B126" s="11"/>
      <c r="C126" s="11"/>
      <c r="D126" s="11"/>
      <c r="E126" s="11"/>
      <c r="F126" s="1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1"/>
      <c r="B127" s="11"/>
      <c r="C127" s="11"/>
      <c r="D127" s="11"/>
      <c r="E127" s="11"/>
      <c r="F127" s="1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1"/>
      <c r="B128" s="11"/>
      <c r="C128" s="11"/>
      <c r="D128" s="11"/>
      <c r="E128" s="11"/>
      <c r="F128" s="1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1"/>
      <c r="B129" s="11"/>
      <c r="C129" s="11"/>
      <c r="D129" s="11"/>
      <c r="E129" s="11"/>
      <c r="F129" s="1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1"/>
      <c r="B130" s="11"/>
      <c r="C130" s="11"/>
      <c r="D130" s="11"/>
      <c r="E130" s="11"/>
      <c r="F130" s="1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1"/>
      <c r="B131" s="11"/>
      <c r="C131" s="11"/>
      <c r="D131" s="11"/>
      <c r="E131" s="11"/>
      <c r="F131" s="1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1"/>
      <c r="B132" s="11"/>
      <c r="C132" s="11"/>
      <c r="D132" s="11"/>
      <c r="E132" s="11"/>
      <c r="F132" s="1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1"/>
      <c r="B133" s="11"/>
      <c r="C133" s="11"/>
      <c r="D133" s="11"/>
      <c r="E133" s="11"/>
      <c r="F133" s="1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1"/>
      <c r="B134" s="11"/>
      <c r="C134" s="11"/>
      <c r="D134" s="11"/>
      <c r="E134" s="11"/>
      <c r="F134" s="1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1"/>
      <c r="B135" s="11"/>
      <c r="C135" s="11"/>
      <c r="D135" s="11"/>
      <c r="E135" s="11"/>
      <c r="F135" s="1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1"/>
      <c r="B136" s="11"/>
      <c r="C136" s="11"/>
      <c r="D136" s="11"/>
      <c r="E136" s="11"/>
      <c r="F136" s="1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1"/>
      <c r="B137" s="11"/>
      <c r="C137" s="11"/>
      <c r="D137" s="11"/>
      <c r="E137" s="11"/>
      <c r="F137" s="1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1"/>
      <c r="B138" s="11"/>
      <c r="C138" s="11"/>
      <c r="D138" s="11"/>
      <c r="E138" s="11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1"/>
      <c r="B139" s="11"/>
      <c r="C139" s="11"/>
      <c r="D139" s="11"/>
      <c r="E139" s="11"/>
      <c r="F139" s="1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1"/>
      <c r="B140" s="11"/>
      <c r="C140" s="11"/>
      <c r="D140" s="11"/>
      <c r="E140" s="11"/>
      <c r="F140" s="1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1"/>
      <c r="B141" s="11"/>
      <c r="C141" s="11"/>
      <c r="D141" s="11"/>
      <c r="E141" s="11"/>
      <c r="F141" s="1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1"/>
      <c r="B142" s="11"/>
      <c r="C142" s="11"/>
      <c r="D142" s="11"/>
      <c r="E142" s="11"/>
      <c r="F142" s="1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1"/>
      <c r="B143" s="11"/>
      <c r="C143" s="11"/>
      <c r="D143" s="11"/>
      <c r="E143" s="11"/>
      <c r="F143" s="1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1"/>
      <c r="B144" s="11"/>
      <c r="C144" s="11"/>
      <c r="D144" s="11"/>
      <c r="E144" s="11"/>
      <c r="F144" s="1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1"/>
      <c r="B145" s="11"/>
      <c r="C145" s="11"/>
      <c r="D145" s="11"/>
      <c r="E145" s="11"/>
      <c r="F145" s="1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1"/>
      <c r="B146" s="11"/>
      <c r="C146" s="11"/>
      <c r="D146" s="11"/>
      <c r="E146" s="11"/>
      <c r="F146" s="1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1"/>
      <c r="B147" s="11"/>
      <c r="C147" s="11"/>
      <c r="D147" s="11"/>
      <c r="E147" s="11"/>
      <c r="F147" s="1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1"/>
      <c r="B148" s="11"/>
      <c r="C148" s="11"/>
      <c r="D148" s="11"/>
      <c r="E148" s="11"/>
      <c r="F148" s="1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1"/>
      <c r="B149" s="11"/>
      <c r="C149" s="11"/>
      <c r="D149" s="11"/>
      <c r="E149" s="11"/>
      <c r="F149" s="1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1"/>
      <c r="B150" s="11"/>
      <c r="C150" s="11"/>
      <c r="D150" s="11"/>
      <c r="E150" s="11"/>
      <c r="F150" s="1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1"/>
      <c r="B151" s="11"/>
      <c r="C151" s="11"/>
      <c r="D151" s="11"/>
      <c r="E151" s="11"/>
      <c r="F151" s="1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1"/>
      <c r="B152" s="11"/>
      <c r="C152" s="11"/>
      <c r="D152" s="11"/>
      <c r="E152" s="11"/>
      <c r="F152" s="1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1"/>
      <c r="B153" s="11"/>
      <c r="C153" s="11"/>
      <c r="D153" s="11"/>
      <c r="E153" s="11"/>
      <c r="F153" s="1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1"/>
      <c r="B154" s="11"/>
      <c r="C154" s="11"/>
      <c r="D154" s="11"/>
      <c r="E154" s="11"/>
      <c r="F154" s="1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1"/>
      <c r="B155" s="11"/>
      <c r="C155" s="11"/>
      <c r="D155" s="11"/>
      <c r="E155" s="11"/>
      <c r="F155" s="1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1"/>
      <c r="B156" s="11"/>
      <c r="C156" s="11"/>
      <c r="D156" s="11"/>
      <c r="E156" s="11"/>
      <c r="F156" s="1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1"/>
      <c r="B157" s="11"/>
      <c r="C157" s="11"/>
      <c r="D157" s="11"/>
      <c r="E157" s="11"/>
      <c r="F157" s="1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1"/>
      <c r="B158" s="11"/>
      <c r="C158" s="11"/>
      <c r="D158" s="11"/>
      <c r="E158" s="11"/>
      <c r="F158" s="1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1"/>
      <c r="B159" s="11"/>
      <c r="C159" s="11"/>
      <c r="D159" s="11"/>
      <c r="E159" s="11"/>
      <c r="F159" s="1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1"/>
      <c r="B160" s="11"/>
      <c r="C160" s="11"/>
      <c r="D160" s="11"/>
      <c r="E160" s="11"/>
      <c r="F160" s="1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1"/>
      <c r="B161" s="11"/>
      <c r="C161" s="11"/>
      <c r="D161" s="11"/>
      <c r="E161" s="11"/>
      <c r="F161" s="1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1"/>
      <c r="B162" s="11"/>
      <c r="C162" s="11"/>
      <c r="D162" s="11"/>
      <c r="E162" s="11"/>
      <c r="F162" s="1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1"/>
      <c r="B163" s="11"/>
      <c r="C163" s="11"/>
      <c r="D163" s="11"/>
      <c r="E163" s="11"/>
      <c r="F163" s="1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1"/>
      <c r="B164" s="11"/>
      <c r="C164" s="11"/>
      <c r="D164" s="11"/>
      <c r="E164" s="11"/>
      <c r="F164" s="1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1"/>
      <c r="B165" s="11"/>
      <c r="C165" s="11"/>
      <c r="D165" s="11"/>
      <c r="E165" s="11"/>
      <c r="F165" s="1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1"/>
      <c r="B166" s="11"/>
      <c r="C166" s="11"/>
      <c r="D166" s="11"/>
      <c r="E166" s="11"/>
      <c r="F166" s="1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1"/>
      <c r="B167" s="11"/>
      <c r="C167" s="11"/>
      <c r="D167" s="11"/>
      <c r="E167" s="11"/>
      <c r="F167" s="1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1"/>
      <c r="B168" s="11"/>
      <c r="C168" s="11"/>
      <c r="D168" s="11"/>
      <c r="E168" s="11"/>
      <c r="F168" s="1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1"/>
      <c r="B169" s="11"/>
      <c r="C169" s="11"/>
      <c r="D169" s="11"/>
      <c r="E169" s="11"/>
      <c r="F169" s="1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1"/>
      <c r="B170" s="11"/>
      <c r="C170" s="11"/>
      <c r="D170" s="11"/>
      <c r="E170" s="11"/>
      <c r="F170" s="1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1"/>
      <c r="B171" s="11"/>
      <c r="C171" s="11"/>
      <c r="D171" s="11"/>
      <c r="E171" s="11"/>
      <c r="F171" s="1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1"/>
      <c r="B172" s="11"/>
      <c r="C172" s="11"/>
      <c r="D172" s="11"/>
      <c r="E172" s="11"/>
      <c r="F172" s="1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1"/>
      <c r="B173" s="11"/>
      <c r="C173" s="11"/>
      <c r="D173" s="11"/>
      <c r="E173" s="11"/>
      <c r="F173" s="1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1"/>
      <c r="B174" s="11"/>
      <c r="C174" s="11"/>
      <c r="D174" s="11"/>
      <c r="E174" s="11"/>
      <c r="F174" s="1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1"/>
      <c r="B175" s="11"/>
      <c r="C175" s="11"/>
      <c r="D175" s="11"/>
      <c r="E175" s="11"/>
      <c r="F175" s="1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1"/>
      <c r="B176" s="11"/>
      <c r="C176" s="11"/>
      <c r="D176" s="11"/>
      <c r="E176" s="11"/>
      <c r="F176" s="1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1"/>
      <c r="B177" s="11"/>
      <c r="C177" s="11"/>
      <c r="D177" s="11"/>
      <c r="E177" s="11"/>
      <c r="F177" s="1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1"/>
      <c r="B178" s="11"/>
      <c r="C178" s="11"/>
      <c r="D178" s="11"/>
      <c r="E178" s="11"/>
      <c r="F178" s="1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1"/>
      <c r="B179" s="11"/>
      <c r="C179" s="11"/>
      <c r="D179" s="11"/>
      <c r="E179" s="11"/>
      <c r="F179" s="1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1"/>
      <c r="B180" s="11"/>
      <c r="C180" s="11"/>
      <c r="D180" s="11"/>
      <c r="E180" s="11"/>
      <c r="F180" s="1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1"/>
      <c r="B181" s="11"/>
      <c r="C181" s="11"/>
      <c r="D181" s="11"/>
      <c r="E181" s="11"/>
      <c r="F181" s="1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1"/>
      <c r="B182" s="11"/>
      <c r="C182" s="11"/>
      <c r="D182" s="11"/>
      <c r="E182" s="11"/>
      <c r="F182" s="1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1"/>
      <c r="B183" s="11"/>
      <c r="C183" s="11"/>
      <c r="D183" s="11"/>
      <c r="E183" s="11"/>
      <c r="F183" s="1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1"/>
      <c r="B184" s="11"/>
      <c r="C184" s="11"/>
      <c r="D184" s="11"/>
      <c r="E184" s="11"/>
      <c r="F184" s="1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1"/>
      <c r="B185" s="11"/>
      <c r="C185" s="11"/>
      <c r="D185" s="11"/>
      <c r="E185" s="11"/>
      <c r="F185" s="1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1"/>
      <c r="B186" s="11"/>
      <c r="C186" s="11"/>
      <c r="D186" s="11"/>
      <c r="E186" s="11"/>
      <c r="F186" s="1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1"/>
      <c r="B187" s="11"/>
      <c r="C187" s="11"/>
      <c r="D187" s="11"/>
      <c r="E187" s="11"/>
      <c r="F187" s="1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1"/>
      <c r="B188" s="11"/>
      <c r="C188" s="11"/>
      <c r="D188" s="11"/>
      <c r="E188" s="11"/>
      <c r="F188" s="1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1"/>
      <c r="B189" s="11"/>
      <c r="C189" s="11"/>
      <c r="D189" s="11"/>
      <c r="E189" s="11"/>
      <c r="F189" s="1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1"/>
      <c r="B190" s="11"/>
      <c r="C190" s="11"/>
      <c r="D190" s="11"/>
      <c r="E190" s="11"/>
      <c r="F190" s="1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1"/>
      <c r="B191" s="11"/>
      <c r="C191" s="11"/>
      <c r="D191" s="11"/>
      <c r="E191" s="11"/>
      <c r="F191" s="1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1"/>
      <c r="B192" s="11"/>
      <c r="C192" s="11"/>
      <c r="D192" s="11"/>
      <c r="E192" s="11"/>
      <c r="F192" s="1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1"/>
      <c r="B193" s="11"/>
      <c r="C193" s="11"/>
      <c r="D193" s="11"/>
      <c r="E193" s="11"/>
      <c r="F193" s="1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1"/>
      <c r="B194" s="11"/>
      <c r="C194" s="11"/>
      <c r="D194" s="11"/>
      <c r="E194" s="11"/>
      <c r="F194" s="1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1"/>
      <c r="B195" s="11"/>
      <c r="C195" s="11"/>
      <c r="D195" s="11"/>
      <c r="E195" s="11"/>
      <c r="F195" s="1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1"/>
      <c r="B196" s="11"/>
      <c r="C196" s="11"/>
      <c r="D196" s="11"/>
      <c r="E196" s="11"/>
      <c r="F196" s="1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1"/>
      <c r="B197" s="11"/>
      <c r="C197" s="11"/>
      <c r="D197" s="11"/>
      <c r="E197" s="11"/>
      <c r="F197" s="1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1"/>
      <c r="B198" s="11"/>
      <c r="C198" s="11"/>
      <c r="D198" s="11"/>
      <c r="E198" s="11"/>
      <c r="F198" s="1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1"/>
      <c r="B199" s="11"/>
      <c r="C199" s="11"/>
      <c r="D199" s="11"/>
      <c r="E199" s="11"/>
      <c r="F199" s="1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1"/>
      <c r="B200" s="11"/>
      <c r="C200" s="11"/>
      <c r="D200" s="11"/>
      <c r="E200" s="11"/>
      <c r="F200" s="1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1"/>
      <c r="B201" s="11"/>
      <c r="C201" s="11"/>
      <c r="D201" s="11"/>
      <c r="E201" s="11"/>
      <c r="F201" s="1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1"/>
      <c r="B202" s="11"/>
      <c r="C202" s="11"/>
      <c r="D202" s="11"/>
      <c r="E202" s="11"/>
      <c r="F202" s="1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1"/>
      <c r="B203" s="11"/>
      <c r="C203" s="11"/>
      <c r="D203" s="11"/>
      <c r="E203" s="11"/>
      <c r="F203" s="1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1"/>
      <c r="B204" s="11"/>
      <c r="C204" s="11"/>
      <c r="D204" s="11"/>
      <c r="E204" s="11"/>
      <c r="F204" s="1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1"/>
      <c r="B205" s="11"/>
      <c r="C205" s="11"/>
      <c r="D205" s="11"/>
      <c r="E205" s="11"/>
      <c r="F205" s="1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1"/>
      <c r="B206" s="11"/>
      <c r="C206" s="11"/>
      <c r="D206" s="11"/>
      <c r="E206" s="11"/>
      <c r="F206" s="1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1"/>
      <c r="B207" s="11"/>
      <c r="C207" s="11"/>
      <c r="D207" s="11"/>
      <c r="E207" s="11"/>
      <c r="F207" s="1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1"/>
      <c r="B208" s="11"/>
      <c r="C208" s="11"/>
      <c r="D208" s="11"/>
      <c r="E208" s="11"/>
      <c r="F208" s="1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1"/>
      <c r="B209" s="11"/>
      <c r="C209" s="11"/>
      <c r="D209" s="11"/>
      <c r="E209" s="11"/>
      <c r="F209" s="1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1"/>
      <c r="B210" s="11"/>
      <c r="C210" s="11"/>
      <c r="D210" s="11"/>
      <c r="E210" s="11"/>
      <c r="F210" s="1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1"/>
      <c r="B211" s="11"/>
      <c r="C211" s="11"/>
      <c r="D211" s="11"/>
      <c r="E211" s="11"/>
      <c r="F211" s="1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1"/>
      <c r="B212" s="11"/>
      <c r="C212" s="11"/>
      <c r="D212" s="11"/>
      <c r="E212" s="11"/>
      <c r="F212" s="1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1"/>
      <c r="B213" s="11"/>
      <c r="C213" s="11"/>
      <c r="D213" s="11"/>
      <c r="E213" s="11"/>
      <c r="F213" s="1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1"/>
      <c r="B214" s="11"/>
      <c r="C214" s="11"/>
      <c r="D214" s="11"/>
      <c r="E214" s="11"/>
      <c r="F214" s="1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1"/>
      <c r="B215" s="11"/>
      <c r="C215" s="11"/>
      <c r="D215" s="11"/>
      <c r="E215" s="11"/>
      <c r="F215" s="1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1"/>
      <c r="B216" s="11"/>
      <c r="C216" s="11"/>
      <c r="D216" s="11"/>
      <c r="E216" s="11"/>
      <c r="F216" s="1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1"/>
      <c r="B217" s="11"/>
      <c r="C217" s="11"/>
      <c r="D217" s="11"/>
      <c r="E217" s="11"/>
      <c r="F217" s="1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1"/>
      <c r="B218" s="11"/>
      <c r="C218" s="11"/>
      <c r="D218" s="11"/>
      <c r="E218" s="11"/>
      <c r="F218" s="1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1"/>
      <c r="B219" s="11"/>
      <c r="C219" s="11"/>
      <c r="D219" s="11"/>
      <c r="E219" s="11"/>
      <c r="F219" s="1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1"/>
      <c r="B220" s="11"/>
      <c r="C220" s="11"/>
      <c r="D220" s="11"/>
      <c r="E220" s="11"/>
      <c r="F220" s="1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/>
      <c r="B221" s="11"/>
      <c r="C221" s="11"/>
      <c r="D221" s="11"/>
      <c r="E221" s="11"/>
      <c r="F221" s="1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1"/>
      <c r="B222" s="11"/>
      <c r="C222" s="11"/>
      <c r="D222" s="11"/>
      <c r="E222" s="11"/>
      <c r="F222" s="1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1"/>
      <c r="B223" s="11"/>
      <c r="C223" s="11"/>
      <c r="D223" s="11"/>
      <c r="E223" s="11"/>
      <c r="F223" s="1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1"/>
      <c r="B224" s="11"/>
      <c r="C224" s="11"/>
      <c r="D224" s="11"/>
      <c r="E224" s="11"/>
      <c r="F224" s="1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1"/>
      <c r="B225" s="11"/>
      <c r="C225" s="11"/>
      <c r="D225" s="11"/>
      <c r="E225" s="11"/>
      <c r="F225" s="1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1"/>
      <c r="B226" s="11"/>
      <c r="C226" s="11"/>
      <c r="D226" s="11"/>
      <c r="E226" s="11"/>
      <c r="F226" s="1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1"/>
      <c r="B227" s="11"/>
      <c r="C227" s="11"/>
      <c r="D227" s="11"/>
      <c r="E227" s="11"/>
      <c r="F227" s="1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1"/>
      <c r="B228" s="11"/>
      <c r="C228" s="11"/>
      <c r="D228" s="11"/>
      <c r="E228" s="11"/>
      <c r="F228" s="1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1"/>
      <c r="B229" s="11"/>
      <c r="C229" s="11"/>
      <c r="D229" s="11"/>
      <c r="E229" s="11"/>
      <c r="F229" s="1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1"/>
      <c r="B230" s="11"/>
      <c r="C230" s="11"/>
      <c r="D230" s="11"/>
      <c r="E230" s="11"/>
      <c r="F230" s="1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1"/>
      <c r="B231" s="11"/>
      <c r="C231" s="11"/>
      <c r="D231" s="11"/>
      <c r="E231" s="11"/>
      <c r="F231" s="1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1"/>
      <c r="B232" s="11"/>
      <c r="C232" s="11"/>
      <c r="D232" s="11"/>
      <c r="E232" s="11"/>
      <c r="F232" s="1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1"/>
      <c r="B233" s="11"/>
      <c r="C233" s="11"/>
      <c r="D233" s="11"/>
      <c r="E233" s="11"/>
      <c r="F233" s="1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1"/>
      <c r="B234" s="11"/>
      <c r="C234" s="11"/>
      <c r="D234" s="11"/>
      <c r="E234" s="11"/>
      <c r="F234" s="1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1"/>
      <c r="B235" s="11"/>
      <c r="C235" s="11"/>
      <c r="D235" s="11"/>
      <c r="E235" s="11"/>
      <c r="F235" s="1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1"/>
      <c r="B236" s="11"/>
      <c r="C236" s="11"/>
      <c r="D236" s="11"/>
      <c r="E236" s="11"/>
      <c r="F236" s="1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1"/>
      <c r="B237" s="11"/>
      <c r="C237" s="11"/>
      <c r="D237" s="11"/>
      <c r="E237" s="11"/>
      <c r="F237" s="1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1"/>
      <c r="B238" s="11"/>
      <c r="C238" s="11"/>
      <c r="D238" s="11"/>
      <c r="E238" s="11"/>
      <c r="F238" s="1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1"/>
      <c r="B239" s="11"/>
      <c r="C239" s="11"/>
      <c r="D239" s="11"/>
      <c r="E239" s="11"/>
      <c r="F239" s="1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1"/>
      <c r="B240" s="11"/>
      <c r="C240" s="11"/>
      <c r="D240" s="11"/>
      <c r="E240" s="11"/>
      <c r="F240" s="1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1"/>
      <c r="B241" s="11"/>
      <c r="C241" s="11"/>
      <c r="D241" s="11"/>
      <c r="E241" s="11"/>
      <c r="F241" s="1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1"/>
      <c r="B242" s="11"/>
      <c r="C242" s="11"/>
      <c r="D242" s="11"/>
      <c r="E242" s="11"/>
      <c r="F242" s="1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